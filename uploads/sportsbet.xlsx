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action History" sheetId="1" r:id="rId5"/>
    <sheet state="visible" name="Bet Summary" sheetId="2" r:id="rId6"/>
    <sheet state="visible" name="Bets Each Round" sheetId="3" r:id="rId7"/>
    <sheet state="visible" name="Aggregated Return Graph" sheetId="4" r:id="rId8"/>
    <sheet state="visible" name="Return $ Graph" sheetId="5" r:id="rId9"/>
    <sheet state="visible" name="1st Quarter" sheetId="6" r:id="rId10"/>
    <sheet state="visible" name="2nd Quarter" sheetId="7" r:id="rId11"/>
    <sheet state="visible" name="3rd Quarter" sheetId="8" r:id="rId12"/>
    <sheet state="visible" name="4th Quarter" sheetId="9" r:id="rId13"/>
    <sheet state="visible" name="Playoffs" sheetId="10" r:id="rId14"/>
  </sheets>
  <definedNames>
    <definedName hidden="1" localSheetId="0" name="_xlnm._FilterDatabase">'Transaction History'!$A$1:$U$219</definedName>
  </definedNames>
  <calcPr/>
  <pivotCaches>
    <pivotCache cacheId="0" r:id="rId15"/>
  </pivotCaches>
</workbook>
</file>

<file path=xl/sharedStrings.xml><?xml version="1.0" encoding="utf-8"?>
<sst xmlns="http://schemas.openxmlformats.org/spreadsheetml/2006/main" count="858" uniqueCount="196">
  <si>
    <t>Time (AEST)</t>
  </si>
  <si>
    <t>Type</t>
  </si>
  <si>
    <t>Summary</t>
  </si>
  <si>
    <t>Transaction Id</t>
  </si>
  <si>
    <t>Bet Id</t>
  </si>
  <si>
    <t>Amount</t>
  </si>
  <si>
    <t>Balance</t>
  </si>
  <si>
    <t>Single</t>
  </si>
  <si>
    <t>Multiple</t>
  </si>
  <si>
    <t>Exotic</t>
  </si>
  <si>
    <t>Pool</t>
  </si>
  <si>
    <t>Player</t>
  </si>
  <si>
    <t>Deposit</t>
  </si>
  <si>
    <t>Funds transferred to group</t>
  </si>
  <si>
    <t>Shawry</t>
  </si>
  <si>
    <t>JP</t>
  </si>
  <si>
    <t>Shaz</t>
  </si>
  <si>
    <t>Bet Stake</t>
  </si>
  <si>
    <t>Sydney Swans v Carlton
 Same Game Multi</t>
  </si>
  <si>
    <t xml:space="preserve"> </t>
  </si>
  <si>
    <t>Round</t>
  </si>
  <si>
    <t>Bets</t>
  </si>
  <si>
    <t>Wins</t>
  </si>
  <si>
    <t>Losses</t>
  </si>
  <si>
    <t>Valid Bets</t>
  </si>
  <si>
    <t>Brisbane Lions v Western Bulldogs
 Same Game Multi</t>
  </si>
  <si>
    <t>Win %</t>
  </si>
  <si>
    <t>Return ($)</t>
  </si>
  <si>
    <t>Total Bets Placed</t>
  </si>
  <si>
    <t>Gold Coast SUNS v Geelong Cats
 Same Game Multi</t>
  </si>
  <si>
    <t>Return %</t>
  </si>
  <si>
    <t>Total Valid Bets</t>
  </si>
  <si>
    <t>Aggregate Return</t>
  </si>
  <si>
    <t>Voids</t>
  </si>
  <si>
    <t>Gold Coast SUNS v Geelong Cats
 Head to Head
Geelong Cats @ 2.28 (Win)</t>
  </si>
  <si>
    <t>Cashed Out</t>
  </si>
  <si>
    <t>Total Win %</t>
  </si>
  <si>
    <t>Void</t>
  </si>
  <si>
    <t>$ Wins</t>
  </si>
  <si>
    <t>$ Losses</t>
  </si>
  <si>
    <t>$ Profit</t>
  </si>
  <si>
    <t>Win</t>
  </si>
  <si>
    <t>St Kilda v Collingwood
 Same Game Multi</t>
  </si>
  <si>
    <t>GWS GIANTS v Hawthorn
 Same Game Multi</t>
  </si>
  <si>
    <t>St Kilda v Collingwood
Head to Head
Collingwood @ 1.97 (Win)</t>
  </si>
  <si>
    <t>Carlton v Richmond
 Same Game Multi</t>
  </si>
  <si>
    <t>Essendon v Hawthorn
 Same Game Multi</t>
  </si>
  <si>
    <t>Western Bulldogs v GWS GIANTS
 Same Game Multi</t>
  </si>
  <si>
    <t>Sydney Swans v Brisbane Lions
 Same Game Multi</t>
  </si>
  <si>
    <t>Western Bulldogs v GWS GIANTS
Head to Head
GWS GIANTS @ 3.25 (Win)</t>
  </si>
  <si>
    <t>Gold Coast SUNS v West Coast Eagles
 Same Game Multi</t>
  </si>
  <si>
    <t>Sydney Swans v Brisbane Lions
 Head to Head
Brisbane Lions @ 2.88 (Win)</t>
  </si>
  <si>
    <t>Hawthorn v Sydney Swans
 Same Game Multi</t>
  </si>
  <si>
    <t>Adelaide Crows v Western Bulldogs
 Same Game Multi</t>
  </si>
  <si>
    <t>Richmond v Gold Coast SUNS
 Same Game Multi</t>
  </si>
  <si>
    <t>Adelaide Crows v Western Bulldogs
 Head to Head
Adelaide Crows @ 1.96 (Win)</t>
  </si>
  <si>
    <t>GWS GIANTS v St Kilda
 Head to Head
St Kilda @ 2.44 (Win)</t>
  </si>
  <si>
    <t>Collingwood v GWS GIANTS
 Same Game Multi</t>
  </si>
  <si>
    <t>Geelong Cats v Adelaide Crows
 Same Game Multi</t>
  </si>
  <si>
    <t>St Kilda v Brisbane Lions
 Same Game Multi</t>
  </si>
  <si>
    <t>St Kilda v Brisbane Lions
Head to Head
St Kilda @ 2.43 (Win)</t>
  </si>
  <si>
    <t>Essendon v North Melbourne
Head to Head
Essendon @ 2.75 (Win)</t>
  </si>
  <si>
    <t>Carlton v Melbourne
 Same Game Multi</t>
  </si>
  <si>
    <t>Brisbane Lions v Collingwood
 Same Game Multi</t>
  </si>
  <si>
    <t>Richmond v Port Adelaide
 Same Game Multi</t>
  </si>
  <si>
    <t>North Melbourne v Carlton
 Same Game Multi</t>
  </si>
  <si>
    <t>Adelaide Crows v Fremantle
 Same Game Multi</t>
  </si>
  <si>
    <t>West Coast Eagles v Sydney Swans
 Same Game Multi</t>
  </si>
  <si>
    <t>Melbourne v Gold Coast SUNS
 Pick Your Line
Gold Coast SUNS (-29.5) @ 2.20 (Win)</t>
  </si>
  <si>
    <t>Adelaide Crows v Carlton
 Same Game Multi</t>
  </si>
  <si>
    <t>Collingwood v Fremantle
 Same Game Multi</t>
  </si>
  <si>
    <t>Sydney Swans v Gold Coast SUNS
 Same Game Multi</t>
  </si>
  <si>
    <t>Essendon v Melbourne
 Same Game Multi</t>
  </si>
  <si>
    <t>GWS GIANTS v Richmond
 Same Game Multi</t>
  </si>
  <si>
    <t>Port Adelaide v St Kilda
 Same Game Multi</t>
  </si>
  <si>
    <t>Carlton v Collingwood
 Big Win Little Win
Collingwood 1 to 39 @ 2.12 (Win)</t>
  </si>
  <si>
    <t>Sydney Swans v GWS GIANTS
 Same Game Multi</t>
  </si>
  <si>
    <t>Geelong Cats v Western Bulldogs
 Same Game Multi</t>
  </si>
  <si>
    <t>Gold Coast SUNS v Essendon
 Same Game Multi</t>
  </si>
  <si>
    <t>Western Bulldogs v Sydney Swans
 Same Game Multi</t>
  </si>
  <si>
    <t>Richmond v Melbourne
 Same Game Multi</t>
  </si>
  <si>
    <t>Hawthorn v Gold Coast SUNS
 Same Game Multi</t>
  </si>
  <si>
    <t>Essendon v Collingwood
 Same Game Multi</t>
  </si>
  <si>
    <t>GWS GIANTS v North Melbourne
 Same Game Multi</t>
  </si>
  <si>
    <t>SUM of Aggregate Return</t>
  </si>
  <si>
    <t>Port Adelaide v Geelong Cats
 Same Game Multi</t>
  </si>
  <si>
    <t>Collingwood v Hawthorn
 Same Game Multi</t>
  </si>
  <si>
    <t>Western Bulldogs v Fremantle
 Same Game Multi</t>
  </si>
  <si>
    <t/>
  </si>
  <si>
    <t>Adelaide Crows v Port Adelaide
 Head to Head
Port Adelaide @ 2.44 (Win)</t>
  </si>
  <si>
    <t>\</t>
  </si>
  <si>
    <t>Sydney Swans v Melbourne
 Same Game Multi</t>
  </si>
  <si>
    <t>Carlton v St Kilda
 Same Game Multi</t>
  </si>
  <si>
    <t>North Melbourne v Sydney Swans
 Same Game Multi</t>
  </si>
  <si>
    <t>Brisbane Lions v Carlton
 Same Game Multi</t>
  </si>
  <si>
    <t>Port Adelaide v Western Bulldogs
 Same Game Multi</t>
  </si>
  <si>
    <t>Gold Coast SUNS v St Kilda
 1st, 2nd or 3rd Goal
Christian Petracca @ 5.60 (Win)</t>
  </si>
  <si>
    <t>GWS GIANTS v Essendon
 Same Game Multi</t>
  </si>
  <si>
    <t>Geelong Cats v Collingwood
 Same Game Multi</t>
  </si>
  <si>
    <t>Brisbane Lions v Geelong Cats
 Same Game Multi</t>
  </si>
  <si>
    <t>Sydney Swans v Collingwood
 Same Game Multi</t>
  </si>
  <si>
    <t>Adelaide Crows v North Melbourne
 Same Game Multi</t>
  </si>
  <si>
    <t>Hawthorn v Adelaide Crows
 Same Game Multi</t>
  </si>
  <si>
    <t>Fremantle v St Kilda
 Same Game Multi</t>
  </si>
  <si>
    <t>Collingwood v West Coast Eagles
 Same Game Multi</t>
  </si>
  <si>
    <t>Richmond v Essendon
 Same Game Multi</t>
  </si>
  <si>
    <t>Geelong Cats v Sydney Swans
 Same Game Multi</t>
  </si>
  <si>
    <t>Multibet (6 folds)</t>
  </si>
  <si>
    <t>Brisbane Lions v Fremantle
 Same Game Multi</t>
  </si>
  <si>
    <t>Melbourne v GWS GIANTS
 Same Game Multi</t>
  </si>
  <si>
    <t>Carlton v Geelong Cats
 Same Game Multi</t>
  </si>
  <si>
    <t>St Kilda v Hawthorn
 Same Game Multi</t>
  </si>
  <si>
    <t>West Coast Eagles v Essendon
 Same Game Multi</t>
  </si>
  <si>
    <t>Multibet (7 folds)</t>
  </si>
  <si>
    <t>Hawthorn v Western Bulldogs
 Same Game Multi</t>
  </si>
  <si>
    <t>Adelaide Crows v Geelong Cats
 Same Game Multi</t>
  </si>
  <si>
    <t>SUM of Return ($)</t>
  </si>
  <si>
    <t>Essendon v Carlton
 Same Game Multi</t>
  </si>
  <si>
    <t>North Melbourne v Fremantle
 Same Game Multi</t>
  </si>
  <si>
    <t>Sydney Swans v St Kilda
 Same Game Multi</t>
  </si>
  <si>
    <t>Grand Total</t>
  </si>
  <si>
    <t>Western Bulldogs v Adelaide Crows
 Same Game Multi</t>
  </si>
  <si>
    <t>Geelong Cats v Gold Coast SUNS
 Same Game Multi</t>
  </si>
  <si>
    <t>St Kilda v GWS GIANTS
 Same Game Multi</t>
  </si>
  <si>
    <t>North Melbourne v West Coast Eagles
 Same Game Multi</t>
  </si>
  <si>
    <t>Melbourne v Essendon
 Same Game Multi</t>
  </si>
  <si>
    <t>Port Adelaide v Sydney Swans
 Same Game Multi</t>
  </si>
  <si>
    <t>Richmond v Brisbane Lions
 Same Game Multi</t>
  </si>
  <si>
    <t>Multibet (5 folds)</t>
  </si>
  <si>
    <t>Gold Coast SUNS v Hawthorn
 Same Game Multi</t>
  </si>
  <si>
    <t>Players</t>
  </si>
  <si>
    <t>Week</t>
  </si>
  <si>
    <t>Fremantle v Geelong Cats
 Same Game Multi</t>
  </si>
  <si>
    <t>Aggregated Win %</t>
  </si>
  <si>
    <t>2026-W10</t>
  </si>
  <si>
    <t>2026-W17</t>
  </si>
  <si>
    <t>Gold Coast SUNS v Hawthorn
 1st, 2nd or 3rd Goal
Ben King @ 3.35 (Win)</t>
  </si>
  <si>
    <t>GWS GIANTS v Carlton
 Same Game Multi</t>
  </si>
  <si>
    <t>Richmond v North Melbourne
 Same Game Multi</t>
  </si>
  <si>
    <t>Collingwood v Port Adelaide
 Same Game Multi</t>
  </si>
  <si>
    <t>Adelaide Crows v Melbourne
 Same Game Multi</t>
  </si>
  <si>
    <t>St Kilda v Western Bulldogs
 Same Game Multi</t>
  </si>
  <si>
    <t>Brisbane Lions v Sydney Swans
 Same Game Multi</t>
  </si>
  <si>
    <t>Carlton v West Coast Eagles
 Same Game Multi</t>
  </si>
  <si>
    <t>Hawthorn v GWS GIANTS
 Same Game Multi</t>
  </si>
  <si>
    <t>Fremantle v Gold Coast SUNS
 Same Game Multi</t>
  </si>
  <si>
    <t>Collingwood v Richmond
 Same Game Multi</t>
  </si>
  <si>
    <t>Port Adelaide v Adelaide Crows
 Same Game Multi</t>
  </si>
  <si>
    <t>Geelong Cats v Brisbane Lions
 Same Game Multi</t>
  </si>
  <si>
    <t>Sydney Swans v Western Bulldogs
 Same Game Multi</t>
  </si>
  <si>
    <t>Hawthorn v Melbourne
 Same Game Multi</t>
  </si>
  <si>
    <t>Richmond v Carlton
 Same Game Multi</t>
  </si>
  <si>
    <t>GWS GIANTS v Fremantle
 Same Game Multi</t>
  </si>
  <si>
    <t>2026-W11</t>
  </si>
  <si>
    <t>2026-W18</t>
  </si>
  <si>
    <t>Essendon v St Kilda
 Same Game Multi</t>
  </si>
  <si>
    <t>Fremantle v Sydney Swans
 Same Game Multi</t>
  </si>
  <si>
    <t>GWS GIANTS v Geelong Cats
 Same Game Multi</t>
  </si>
  <si>
    <t>Collingwood v North Melbourne
 Same Game Multi</t>
  </si>
  <si>
    <t>St Kilda v Port Adelaide
 Same Game Multi</t>
  </si>
  <si>
    <t>Carlton v Hawthorn
 Same Game Multi</t>
  </si>
  <si>
    <t>Sydney Swans v Adelaide Crows
 Same Game Multi</t>
  </si>
  <si>
    <t>Geelong Cats v St Kilda
 Same Game Multi</t>
  </si>
  <si>
    <t>Collingwood v Carlton
 Same Game Multi</t>
  </si>
  <si>
    <t>North Melbourne v Melbourne
 Same Game Multi</t>
  </si>
  <si>
    <t>Gold Coast SUNS v Western Bulldogs
 Same Game Multi</t>
  </si>
  <si>
    <t>West Coast Eagles v Brisbane Lions
 Same Game Multi</t>
  </si>
  <si>
    <t>2026-W19</t>
  </si>
  <si>
    <t>2026-W12</t>
  </si>
  <si>
    <t>Essendon v GWS GIANTS
 Same Game Multi</t>
  </si>
  <si>
    <t>Adelaide Crows v Collingwood
 Same Game Multi</t>
  </si>
  <si>
    <t>Melbourne v Geelong Cats
 Same Game Multi</t>
  </si>
  <si>
    <t>Fremantle v West Coast Eagles
 Same Game Multi</t>
  </si>
  <si>
    <t>Carlton v Gold Coast SUNS
 Same Game Multi</t>
  </si>
  <si>
    <t>GWS GIANTS v Sydney Swans
 Same Game Multi</t>
  </si>
  <si>
    <t>Brisbane Lions v Port Adelaide
 Same Game Multi</t>
  </si>
  <si>
    <t>Western Bulldogs v Richmond
 Same Game Multi</t>
  </si>
  <si>
    <t>North Melbourne v St Kilda
 Same Game Multi</t>
  </si>
  <si>
    <t>Collingwood v Geelong Cats
 Same Game Multi</t>
  </si>
  <si>
    <t>Carlton v Brisbane Lions
 Same Game Multi</t>
  </si>
  <si>
    <t>St Kilda v Sydney Swans
 Same Game Multi</t>
  </si>
  <si>
    <t>Fremantle v Western Bulldogs
 Same Game Multi</t>
  </si>
  <si>
    <t>Carlton v Brisbane Lions
 3+ Goals
Kai Lohmann @ 3.45 (Win)</t>
  </si>
  <si>
    <t>Richmond v West Coast Eagles
 Same Game Multi</t>
  </si>
  <si>
    <t>2026-W20</t>
  </si>
  <si>
    <t>2026-W13</t>
  </si>
  <si>
    <t>2026-W21</t>
  </si>
  <si>
    <t>2026-W14</t>
  </si>
  <si>
    <t>2026-W22</t>
  </si>
  <si>
    <t>2026-W15</t>
  </si>
  <si>
    <t>2026-W16</t>
  </si>
  <si>
    <t xml:space="preserve">Bet Summary </t>
  </si>
  <si>
    <t>2026-W23</t>
  </si>
  <si>
    <t>2026-W24</t>
  </si>
  <si>
    <t>2026-W25</t>
  </si>
  <si>
    <t>2026-W26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</si>
</sst>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dd&quot;-&quot;mmm&quot;-&quot;yyyy"/>
  </numFmts>
  <fonts count="4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0" fontId="1" numFmtId="165" xfId="0" applyFont="1" applyNumberFormat="1"/>
    <xf borderId="0" fillId="0" fontId="1" numFmtId="0" xfId="0" applyFont="1"/>
    <xf borderId="0" fillId="0" fontId="1" numFmtId="0" xfId="0" applyAlignment="1" applyFont="1">
      <alignment vertical="bottom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3" fillId="0" fontId="1" numFmtId="10" xfId="0" applyBorder="1" applyFont="1" applyNumberFormat="1"/>
    <xf borderId="4" fillId="0" fontId="2" numFmtId="0" xfId="0" applyAlignment="1" applyBorder="1" applyFont="1">
      <alignment vertical="bottom"/>
    </xf>
    <xf borderId="2" fillId="0" fontId="1" numFmtId="164" xfId="0" applyBorder="1" applyFont="1" applyNumberFormat="1"/>
    <xf borderId="5" fillId="0" fontId="1" numFmtId="10" xfId="0" applyBorder="1" applyFont="1" applyNumberFormat="1"/>
    <xf borderId="0" fillId="0" fontId="1" numFmtId="164" xfId="0" applyFont="1" applyNumberFormat="1"/>
    <xf borderId="6" fillId="0" fontId="1" numFmtId="0" xfId="0" applyBorder="1" applyFont="1"/>
    <xf borderId="4" fillId="0" fontId="2" numFmtId="10" xfId="0" applyAlignment="1" applyBorder="1" applyFont="1" applyNumberFormat="1">
      <alignment vertical="bottom"/>
    </xf>
    <xf borderId="7" fillId="0" fontId="1" numFmtId="0" xfId="0" applyBorder="1" applyFont="1"/>
    <xf borderId="4" fillId="0" fontId="2" numFmtId="164" xfId="0" applyAlignment="1" applyBorder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8" fillId="0" fontId="1" numFmtId="0" xfId="0" applyBorder="1" applyFont="1"/>
    <xf borderId="4" fillId="0" fontId="2" numFmtId="0" xfId="0" applyBorder="1" applyFont="1"/>
    <xf borderId="4" fillId="0" fontId="1" numFmtId="0" xfId="0" applyBorder="1" applyFont="1"/>
    <xf borderId="6" fillId="0" fontId="1" numFmtId="10" xfId="0" applyBorder="1" applyFont="1" applyNumberFormat="1"/>
    <xf borderId="8" fillId="0" fontId="1" numFmtId="164" xfId="0" applyBorder="1" applyFont="1" applyNumberFormat="1"/>
    <xf borderId="4" fillId="0" fontId="1" numFmtId="10" xfId="0" applyBorder="1" applyFont="1" applyNumberFormat="1"/>
    <xf borderId="6" fillId="0" fontId="1" numFmtId="164" xfId="0" applyBorder="1" applyFont="1" applyNumberFormat="1"/>
    <xf borderId="9" fillId="0" fontId="1" numFmtId="0" xfId="0" applyBorder="1" applyFont="1"/>
    <xf borderId="4" fillId="0" fontId="1" numFmtId="164" xfId="0" applyBorder="1" applyFont="1" applyNumberFormat="1"/>
    <xf borderId="10" fillId="0" fontId="1" numFmtId="0" xfId="0" applyBorder="1" applyFont="1"/>
    <xf borderId="11" fillId="0" fontId="1" numFmtId="0" xfId="0" applyBorder="1" applyFont="1"/>
    <xf borderId="4" fillId="0" fontId="2" numFmtId="164" xfId="0" applyBorder="1" applyFont="1" applyNumberFormat="1"/>
    <xf borderId="0" fillId="0" fontId="2" numFmtId="164" xfId="0" applyFont="1" applyNumberFormat="1"/>
    <xf borderId="0" fillId="0" fontId="2" numFmtId="0" xfId="0" applyFont="1"/>
    <xf borderId="9" fillId="0" fontId="1" numFmtId="10" xfId="0" applyBorder="1" applyFont="1" applyNumberFormat="1"/>
    <xf borderId="11" fillId="0" fontId="1" numFmtId="164" xfId="0" applyBorder="1" applyFont="1" applyNumberFormat="1"/>
    <xf borderId="9" fillId="0" fontId="1" numFmtId="164" xfId="0" applyBorder="1" applyFont="1" applyNumberFormat="1"/>
    <xf borderId="12" fillId="0" fontId="1" numFmtId="0" xfId="0" applyBorder="1" applyFont="1"/>
    <xf borderId="13" fillId="0" fontId="1" numFmtId="0" xfId="0" applyBorder="1" applyFont="1"/>
    <xf borderId="14" fillId="0" fontId="1" numFmtId="0" xfId="0" applyBorder="1" applyFont="1"/>
    <xf borderId="6" fillId="0" fontId="2" numFmtId="0" xfId="0" applyBorder="1" applyFont="1"/>
    <xf borderId="12" fillId="0" fontId="1" numFmtId="10" xfId="0" applyBorder="1" applyFont="1" applyNumberFormat="1"/>
    <xf borderId="14" fillId="0" fontId="1" numFmtId="164" xfId="0" applyBorder="1" applyFont="1" applyNumberFormat="1"/>
    <xf borderId="12" fillId="0" fontId="1" numFmtId="164" xfId="0" applyBorder="1" applyFont="1" applyNumberFormat="1"/>
    <xf borderId="6" fillId="0" fontId="2" numFmtId="164" xfId="0" applyBorder="1" applyFont="1" applyNumberFormat="1"/>
    <xf borderId="0" fillId="0" fontId="1" numFmtId="0" xfId="0" applyFont="1"/>
    <xf borderId="0" fillId="0" fontId="1" numFmtId="10" xfId="0" applyFont="1" applyNumberFormat="1"/>
    <xf borderId="0" fillId="0" fontId="2" numFmtId="0" xfId="0" applyFont="1"/>
    <xf borderId="0" fillId="0" fontId="1" numFmtId="10" xfId="0" applyFont="1" applyNumberFormat="1"/>
    <xf borderId="0" fillId="0" fontId="1" numFmtId="165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center" vertical="bottom"/>
    </xf>
    <xf borderId="0" fillId="0" fontId="3" numFmtId="0" xfId="0" applyFont="1"/>
    <xf borderId="0" fillId="0" fontId="3" numFmtId="164" xfId="0" applyFont="1" applyNumberFormat="1"/>
    <xf quotePrefix="1" borderId="0" fillId="0" fontId="1" numFmtId="0" xfId="0" applyFont="1"/>
    <xf borderId="8" fillId="0" fontId="1" numFmtId="10" xfId="0" applyBorder="1" applyFont="1" applyNumberFormat="1"/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center" vertical="bottom"/>
    </xf>
    <xf borderId="0" fillId="0" fontId="3" numFmtId="0" xfId="0" applyAlignment="1" applyFont="1">
      <alignment readingOrder="0"/>
    </xf>
    <xf borderId="15" fillId="0" fontId="1" numFmtId="0" xfId="0" applyBorder="1" applyFont="1"/>
    <xf borderId="0" fillId="0" fontId="3" numFmtId="165" xfId="0" applyFont="1" applyNumberFormat="1"/>
    <xf borderId="7" fillId="0" fontId="1" numFmtId="0" xfId="0" applyBorder="1" applyFont="1"/>
    <xf borderId="3" fillId="0" fontId="1" numFmtId="0" xfId="0" applyBorder="1" applyFont="1"/>
    <xf borderId="8" fillId="0" fontId="1" numFmtId="0" xfId="0" applyBorder="1" applyFont="1"/>
    <xf borderId="9" fillId="0" fontId="1" numFmtId="10" xfId="0" applyBorder="1" applyFont="1" applyNumberFormat="1"/>
    <xf borderId="11" fillId="0" fontId="1" numFmtId="164" xfId="0" applyBorder="1" applyFont="1" applyNumberFormat="1"/>
    <xf borderId="8" fillId="0" fontId="2" numFmtId="10" xfId="0" applyBorder="1" applyFont="1" applyNumberFormat="1"/>
    <xf borderId="9" fillId="0" fontId="1" numFmtId="164" xfId="0" applyBorder="1" applyFont="1" applyNumberFormat="1"/>
    <xf borderId="10" fillId="0" fontId="1" numFmtId="0" xfId="0" applyBorder="1" applyFont="1"/>
    <xf borderId="11" fillId="0" fontId="1" numFmtId="0" xfId="0" applyBorder="1" applyFont="1"/>
    <xf borderId="15" fillId="0" fontId="1" numFmtId="0" xfId="0" applyBorder="1" applyFont="1"/>
    <xf borderId="13" fillId="0" fontId="1" numFmtId="0" xfId="0" applyBorder="1" applyFont="1"/>
    <xf borderId="12" fillId="0" fontId="1" numFmtId="10" xfId="0" applyBorder="1" applyFont="1" applyNumberFormat="1"/>
    <xf borderId="14" fillId="0" fontId="1" numFmtId="164" xfId="0" applyBorder="1" applyFont="1" applyNumberFormat="1"/>
    <xf borderId="12" fillId="0" fontId="1" numFmtId="164" xfId="0" applyBorder="1" applyFont="1" applyNumberFormat="1"/>
    <xf borderId="9" fillId="0" fontId="2" numFmtId="0" xfId="0" applyBorder="1" applyFont="1"/>
    <xf borderId="12" fillId="0" fontId="2" numFmtId="0" xfId="0" applyBorder="1" applyFont="1"/>
    <xf borderId="0" fillId="2" fontId="1" numFmtId="0" xfId="0" applyFill="1" applyFont="1"/>
    <xf borderId="4" fillId="2" fontId="2" numFmtId="0" xfId="0" applyAlignment="1" applyBorder="1" applyFont="1">
      <alignment vertical="bottom"/>
    </xf>
    <xf borderId="14" fillId="0" fontId="1" numFmtId="0" xfId="0" applyBorder="1" applyFont="1"/>
    <xf borderId="4" fillId="2" fontId="2" numFmtId="10" xfId="0" applyAlignment="1" applyBorder="1" applyFont="1" applyNumberFormat="1">
      <alignment vertical="bottom"/>
    </xf>
    <xf borderId="4" fillId="2" fontId="2" numFmtId="164" xfId="0" applyAlignment="1" applyBorder="1" applyFont="1" applyNumberFormat="1">
      <alignment vertical="bottom"/>
    </xf>
    <xf borderId="0" fillId="2" fontId="2" numFmtId="0" xfId="0" applyAlignment="1" applyFont="1">
      <alignment vertical="bottom"/>
    </xf>
    <xf borderId="3" fillId="0" fontId="1" numFmtId="164" xfId="0" applyBorder="1" applyFont="1" applyNumberFormat="1"/>
    <xf borderId="15" fillId="0" fontId="1" numFmtId="10" xfId="0" applyBorder="1" applyFont="1" applyNumberFormat="1"/>
    <xf borderId="15" fillId="0" fontId="1" numFmtId="164" xfId="0" applyBorder="1" applyFont="1" applyNumberFormat="1"/>
    <xf borderId="5" fillId="0" fontId="1" numFmtId="164" xfId="0" applyBorder="1" applyFont="1" applyNumberFormat="1"/>
    <xf borderId="0" fillId="0" fontId="1" numFmtId="164" xfId="0" applyFont="1" applyNumberFormat="1"/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  <tableStyles count="7">
    <tableStyle count="3" pivot="0" name="Bet Summary-style">
      <tableStyleElement dxfId="1" type="headerRow"/>
      <tableStyleElement dxfId="2" type="firstRowStripe"/>
      <tableStyleElement dxfId="3" type="secondRowStripe"/>
    </tableStyle>
    <tableStyle count="3" pivot="0" name="Bets Each Round-style">
      <tableStyleElement dxfId="4" type="headerRow"/>
      <tableStyleElement dxfId="2" type="firstRowStripe"/>
      <tableStyleElement dxfId="5" type="secondRowStripe"/>
    </tableStyle>
    <tableStyle count="3" pivot="0" name="1st Quarter-style">
      <tableStyleElement dxfId="4" type="headerRow"/>
      <tableStyleElement dxfId="2" type="firstRowStripe"/>
      <tableStyleElement dxfId="5" type="secondRowStripe"/>
    </tableStyle>
    <tableStyle count="3" pivot="0" name="2nd Quarter-style">
      <tableStyleElement dxfId="4" type="headerRow"/>
      <tableStyleElement dxfId="2" type="firstRowStripe"/>
      <tableStyleElement dxfId="5" type="secondRowStripe"/>
    </tableStyle>
    <tableStyle count="3" pivot="0" name="1st Quarter-style 2">
      <tableStyleElement dxfId="1" type="headerRow"/>
      <tableStyleElement dxfId="2" type="firstRowStripe"/>
      <tableStyleElement dxfId="3" type="secondRowStripe"/>
    </tableStyle>
    <tableStyle count="3" pivot="0" name="3rd Quarter-style">
      <tableStyleElement dxfId="4" type="headerRow"/>
      <tableStyleElement dxfId="2" type="firstRowStripe"/>
      <tableStyleElement dxfId="5" type="secondRowStripe"/>
    </tableStyle>
    <tableStyle count="3" pivot="0" name="4th Quarter-style">
      <tableStyleElement dxfId="4" type="headerRow"/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Aggregated Return Over Rounds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'Aggregated Return Graph'!$B$1:$B$2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'Aggregated Return Graph'!$A$3:$A$1000</c:f>
            </c:strRef>
          </c:cat>
          <c:val>
            <c:numRef>
              <c:f>'Aggregated Return Graph'!$B$3:$B$1000</c:f>
              <c:numCache/>
            </c:numRef>
          </c:val>
          <c:smooth val="1"/>
        </c:ser>
        <c:axId val="1120735416"/>
        <c:axId val="1151215478"/>
      </c:lineChart>
      <c:catAx>
        <c:axId val="1120735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Round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51215478"/>
      </c:catAx>
      <c:valAx>
        <c:axId val="11512154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20735416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JP, Shawry, Shaz and Grand Total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'Return $ Graph'!$B$1:$B$2</c:f>
            </c:strRef>
          </c:tx>
          <c:cat>
            <c:strRef>
              <c:f>'Return $ Graph'!$A$3:$A$19</c:f>
            </c:strRef>
          </c:cat>
          <c:val>
            <c:numRef>
              <c:f>'Return $ Graph'!$B$3:$B$19</c:f>
              <c:numCache/>
            </c:numRef>
          </c:val>
        </c:ser>
        <c:ser>
          <c:idx val="1"/>
          <c:order val="1"/>
          <c:tx>
            <c:strRef>
              <c:f>'Return $ Graph'!$C$1:$C$2</c:f>
            </c:strRef>
          </c:tx>
          <c:cat>
            <c:strRef>
              <c:f>'Return $ Graph'!$A$3:$A$19</c:f>
            </c:strRef>
          </c:cat>
          <c:val>
            <c:numRef>
              <c:f>'Return $ Graph'!$C$3:$C$19</c:f>
              <c:numCache/>
            </c:numRef>
          </c:val>
        </c:ser>
        <c:ser>
          <c:idx val="2"/>
          <c:order val="2"/>
          <c:tx>
            <c:strRef>
              <c:f>'Return $ Graph'!$D$1:$D$2</c:f>
            </c:strRef>
          </c:tx>
          <c:cat>
            <c:strRef>
              <c:f>'Return $ Graph'!$A$3:$A$19</c:f>
            </c:strRef>
          </c:cat>
          <c:val>
            <c:numRef>
              <c:f>'Return $ Graph'!$D$3:$D$19</c:f>
              <c:numCache/>
            </c:numRef>
          </c:val>
        </c:ser>
        <c:ser>
          <c:idx val="3"/>
          <c:order val="3"/>
          <c:tx>
            <c:strRef>
              <c:f>'Return $ Graph'!$E$1:$E$2</c:f>
            </c:strRef>
          </c:tx>
          <c:cat>
            <c:strRef>
              <c:f>'Return $ Graph'!$A$3:$A$19</c:f>
            </c:strRef>
          </c:cat>
          <c:val>
            <c:numRef>
              <c:f>'Return $ Graph'!$E$3:$E$19</c:f>
              <c:numCache/>
            </c:numRef>
          </c:val>
        </c:ser>
        <c:axId val="1609192877"/>
        <c:axId val="1246602996"/>
      </c:barChart>
      <c:catAx>
        <c:axId val="16091928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Round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46602996"/>
      </c:catAx>
      <c:valAx>
        <c:axId val="1246602996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609192877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857250</xdr:colOff>
      <xdr:row>1</xdr:row>
      <xdr:rowOff>76200</xdr:rowOff>
    </xdr:from>
    <xdr:ext cx="9344025" cy="57721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28575</xdr:colOff>
      <xdr:row>0</xdr:row>
      <xdr:rowOff>85725</xdr:rowOff>
    </xdr:from>
    <xdr:ext cx="10125075" cy="62579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52" sheet="Bets Each Round"/>
  </cacheSource>
  <cacheFields>
    <cacheField name="#REF!" numFmtId="0">
      <sharedItems containsString="0" containsBlank="1">
        <m/>
      </sharedItems>
    </cacheField>
    <cacheField name=" " numFmtId="0">
      <sharedItems containsString="0" containsBlank="1">
        <m/>
      </sharedItems>
    </cacheField>
    <cacheField name="Round" numFmtId="0">
      <sharedItems containsSemiMixedTypes="0" containsString="0" containsNumber="1" containsInteger="1">
        <n v="0.0"/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</sharedItems>
    </cacheField>
    <cacheField name="Bets" numFmtId="0">
      <sharedItems>
        <e v="#VALUE!"/>
      </sharedItems>
    </cacheField>
    <cacheField name="Wins" numFmtId="0">
      <sharedItems>
        <e v="#VALUE!"/>
      </sharedItems>
    </cacheField>
    <cacheField name="Losses" numFmtId="0">
      <sharedItems>
        <e v="#VALUE!"/>
      </sharedItems>
    </cacheField>
    <cacheField name="Valid Bets" numFmtId="0">
      <sharedItems>
        <e v="#VALUE!"/>
      </sharedItems>
    </cacheField>
    <cacheField name="Win %" numFmtId="10">
      <sharedItems>
        <e v="#VALUE!"/>
      </sharedItems>
    </cacheField>
    <cacheField name="Return ($)" numFmtId="164">
      <sharedItems>
        <e v="#N/A"/>
      </sharedItems>
    </cacheField>
    <cacheField name="Return %" numFmtId="10">
      <sharedItems containsSemiMixedTypes="0" containsString="0" containsNumber="1" containsInteger="1">
        <n v="0.0"/>
      </sharedItems>
    </cacheField>
    <cacheField name="Aggregate Return" numFmtId="164">
      <sharedItems containsSemiMixedTypes="0" containsString="0" containsNumber="1" containsInteger="1">
        <n v="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Aggregated Return Graph" cacheId="0" dataCaption="" rowGrandTotals="0" colGrandTotals="0" compact="0" compactData="0">
  <location ref="A1:B19" firstHeaderRow="0" firstDataRow="1" firstDataCol="1"/>
  <pivotFields>
    <pivotField name="#REF!" axis="axisCol" compact="0" outline="0" multipleItemSelectionAllowed="1" showAll="0" sortType="ascending">
      <items>
        <item x="0"/>
        <item t="default"/>
      </items>
    </pivotField>
    <pivotField name=" " compact="0" outline="0" multipleItemSelectionAllowed="1" showAll="0">
      <items>
        <item x="0"/>
        <item t="default"/>
      </items>
    </pivotField>
    <pivotField name="Round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Bets" compact="0" outline="0" multipleItemSelectionAllowed="1" showAll="0">
      <items>
        <item x="0"/>
        <item t="default"/>
      </items>
    </pivotField>
    <pivotField name="Wins" compact="0" outline="0" multipleItemSelectionAllowed="1" showAll="0">
      <items>
        <item x="0"/>
        <item t="default"/>
      </items>
    </pivotField>
    <pivotField name="Losses" compact="0" outline="0" multipleItemSelectionAllowed="1" showAll="0">
      <items>
        <item x="0"/>
        <item t="default"/>
      </items>
    </pivotField>
    <pivotField name="Valid Bets" compact="0" outline="0" multipleItemSelectionAllowed="1" showAll="0">
      <items>
        <item x="0"/>
        <item t="default"/>
      </items>
    </pivotField>
    <pivotField name="Win %" compact="0" numFmtId="10" outline="0" multipleItemSelectionAllowed="1" showAll="0">
      <items>
        <item x="0"/>
        <item t="default"/>
      </items>
    </pivotField>
    <pivotField name="Return ($)" compact="0" numFmtId="164" outline="0" multipleItemSelectionAllowed="1" showAll="0">
      <items>
        <item x="0"/>
        <item t="default"/>
      </items>
    </pivotField>
    <pivotField name="Return %" compact="0" numFmtId="10" outline="0" multipleItemSelectionAllowed="1" showAll="0">
      <items>
        <item x="0"/>
        <item t="default"/>
      </items>
    </pivotField>
    <pivotField name="Aggregate Return" dataField="1" compact="0" numFmtId="164" outline="0" multipleItemSelectionAllowed="1" showAll="0">
      <items>
        <item x="0"/>
        <item t="default"/>
      </items>
    </pivotField>
  </pivotFields>
  <rowFields>
    <field x="2"/>
  </rowFields>
  <colFields>
    <field x="0"/>
  </colFields>
  <dataFields>
    <dataField name="SUM of Aggregate Return" fld="10" baseField="0"/>
  </dataFields>
</pivotTableDefinition>
</file>

<file path=xl/pivotTables/pivotTable2.xml><?xml version="1.0" encoding="utf-8"?>
<pivotTableDefinition xmlns="http://schemas.openxmlformats.org/spreadsheetml/2006/main" name="Return $ Graph" cacheId="0" dataCaption="" colGrandTotals="0" compact="0" compactData="0">
  <location ref="A1:B20" firstHeaderRow="0" firstDataRow="1" firstDataCol="1"/>
  <pivotFields>
    <pivotField name="#REF!" axis="axisCol" compact="0" outline="0" multipleItemSelectionAllowed="1" showAll="0" sortType="ascending">
      <items>
        <item x="0"/>
        <item t="default"/>
      </items>
    </pivotField>
    <pivotField name=" " compact="0" outline="0" multipleItemSelectionAllowed="1" showAll="0">
      <items>
        <item x="0"/>
        <item t="default"/>
      </items>
    </pivotField>
    <pivotField name="Round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Bets" compact="0" outline="0" multipleItemSelectionAllowed="1" showAll="0">
      <items>
        <item x="0"/>
        <item t="default"/>
      </items>
    </pivotField>
    <pivotField name="Wins" compact="0" outline="0" multipleItemSelectionAllowed="1" showAll="0">
      <items>
        <item x="0"/>
        <item t="default"/>
      </items>
    </pivotField>
    <pivotField name="Losses" compact="0" outline="0" multipleItemSelectionAllowed="1" showAll="0">
      <items>
        <item x="0"/>
        <item t="default"/>
      </items>
    </pivotField>
    <pivotField name="Valid Bets" compact="0" outline="0" multipleItemSelectionAllowed="1" showAll="0">
      <items>
        <item x="0"/>
        <item t="default"/>
      </items>
    </pivotField>
    <pivotField name="Win %" compact="0" numFmtId="10" outline="0" multipleItemSelectionAllowed="1" showAll="0">
      <items>
        <item x="0"/>
        <item t="default"/>
      </items>
    </pivotField>
    <pivotField name="Return ($)" dataField="1" compact="0" numFmtId="164" outline="0" multipleItemSelectionAllowed="1" showAll="0">
      <items>
        <item x="0"/>
        <item t="default"/>
      </items>
    </pivotField>
    <pivotField name="Return %" compact="0" numFmtId="10" outline="0" multipleItemSelectionAllowed="1" showAll="0">
      <items>
        <item x="0"/>
        <item t="default"/>
      </items>
    </pivotField>
    <pivotField name="Aggregate Return" compact="0" numFmtId="164" outline="0" multipleItemSelectionAllowed="1" showAll="0">
      <items>
        <item x="0"/>
        <item t="default"/>
      </items>
    </pivotField>
  </pivotFields>
  <rowFields>
    <field x="2"/>
  </rowFields>
  <colFields>
    <field x="0"/>
  </colFields>
  <dataFields>
    <dataField name="SUM of Return ($)" fld="8" baseField="0"/>
  </dataFields>
</pivotTableDefinition>
</file>

<file path=xl/tables/table1.xml><?xml version="1.0" encoding="utf-8"?>
<table xmlns="http://schemas.openxmlformats.org/spreadsheetml/2006/main" headerRowCount="0" ref="A1:M6" displayName="Table_2" name="Table_2" id="2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Bet Summary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K28" displayName="Table_1" name="Table_1" id="1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ets Each Roun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ref="A1:K22" displayName="Table_3" name="Table_3" id="3">
  <tableColumns count="11">
    <tableColumn name="Players" id="1"/>
    <tableColumn name="Week" id="2"/>
    <tableColumn name="Round" id="3"/>
    <tableColumn name="Bets" id="4"/>
    <tableColumn name="Wins" id="5"/>
    <tableColumn name="Losses" id="6"/>
    <tableColumn name="Valid Bets" id="7"/>
    <tableColumn name="Win %" id="8"/>
    <tableColumn name="Return ($)" id="9"/>
    <tableColumn name="Aggregated Win %" id="10"/>
    <tableColumn name="Aggregate Return" id="11"/>
  </tableColumns>
  <tableStyleInfo name="1st Quarter-style" showColumnStripes="0" showFirstColumn="1" showLastColumn="1" showRowStripes="1"/>
</table>
</file>

<file path=xl/tables/table4.xml><?xml version="1.0" encoding="utf-8"?>
<table xmlns="http://schemas.openxmlformats.org/spreadsheetml/2006/main" headerRowCount="0" ref="B24:L24" displayName="Table_5" name="Table_5" id="5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1st Quarter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ref="A1:K19" displayName="Table_4" name="Table_4" id="4">
  <tableColumns count="11">
    <tableColumn name="Players" id="1"/>
    <tableColumn name="Week" id="2"/>
    <tableColumn name="Round" id="3"/>
    <tableColumn name="Bets" id="4"/>
    <tableColumn name="Wins" id="5"/>
    <tableColumn name="Losses" id="6"/>
    <tableColumn name="Valid Bets" id="7"/>
    <tableColumn name="Win %" id="8"/>
    <tableColumn name="Return ($)" id="9"/>
    <tableColumn name="Return %" id="10"/>
    <tableColumn name="Aggregate Return" id="11"/>
  </tableColumns>
  <tableStyleInfo name="2nd Quarter-style" showColumnStripes="0" showFirstColumn="1" showLastColumn="1" showRowStripes="1"/>
</table>
</file>

<file path=xl/tables/table6.xml><?xml version="1.0" encoding="utf-8"?>
<table xmlns="http://schemas.openxmlformats.org/spreadsheetml/2006/main" ref="A1:K13" displayName="Table_6" name="Table_6" id="6">
  <tableColumns count="11">
    <tableColumn name="Players" id="1"/>
    <tableColumn name="Week" id="2"/>
    <tableColumn name="Round" id="3"/>
    <tableColumn name="Bets" id="4"/>
    <tableColumn name="Wins" id="5"/>
    <tableColumn name="Losses" id="6"/>
    <tableColumn name="Valid Bets" id="7"/>
    <tableColumn name="Win %" id="8"/>
    <tableColumn name="Return ($)" id="9"/>
    <tableColumn name="Return %" id="10"/>
    <tableColumn name="Aggregate Return" id="11"/>
  </tableColumns>
  <tableStyleInfo name="3rd Quarter-style" showColumnStripes="0" showFirstColumn="1" showLastColumn="1" showRowStripes="1"/>
</table>
</file>

<file path=xl/tables/table7.xml><?xml version="1.0" encoding="utf-8"?>
<table xmlns="http://schemas.openxmlformats.org/spreadsheetml/2006/main" headerRowCount="0" ref="A1:K1" displayName="Table_7" name="Table_7" id="7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4th Quarte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7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5.25"/>
    <col customWidth="1" min="2" max="2" width="12.63"/>
    <col customWidth="1" min="3" max="3" width="28.88"/>
    <col customWidth="1" min="4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5.75" customHeight="1">
      <c r="A2" s="1">
        <v>46063.70694444444</v>
      </c>
      <c r="B2" s="2" t="s">
        <v>12</v>
      </c>
      <c r="C2" s="2" t="s">
        <v>13</v>
      </c>
      <c r="D2" s="2">
        <v>8.977639643E9</v>
      </c>
      <c r="F2" s="2">
        <v>33.33</v>
      </c>
      <c r="G2" s="2">
        <v>33.33</v>
      </c>
      <c r="L2" s="3" t="s">
        <v>14</v>
      </c>
    </row>
    <row r="3" ht="15.75" customHeight="1">
      <c r="A3" s="1">
        <v>46063.709027777775</v>
      </c>
      <c r="B3" s="2" t="s">
        <v>12</v>
      </c>
      <c r="C3" s="2" t="s">
        <v>13</v>
      </c>
      <c r="D3" s="2">
        <v>8.977649953E9</v>
      </c>
      <c r="F3" s="2">
        <v>33.33</v>
      </c>
      <c r="G3" s="2">
        <v>66.66</v>
      </c>
      <c r="L3" s="3" t="s">
        <v>15</v>
      </c>
    </row>
    <row r="4" ht="15.75" customHeight="1">
      <c r="A4" s="1">
        <v>46067.799305555556</v>
      </c>
      <c r="B4" s="2" t="s">
        <v>12</v>
      </c>
      <c r="C4" s="2" t="s">
        <v>13</v>
      </c>
      <c r="D4" s="2">
        <v>8.990396212E9</v>
      </c>
      <c r="F4" s="2">
        <v>33.33</v>
      </c>
      <c r="G4" s="2">
        <v>99.99</v>
      </c>
      <c r="L4" s="3" t="s">
        <v>16</v>
      </c>
    </row>
    <row r="5" ht="15.75" customHeight="1">
      <c r="A5" s="1">
        <v>46083.83263888889</v>
      </c>
      <c r="B5" s="2" t="s">
        <v>17</v>
      </c>
      <c r="C5" s="2" t="s">
        <v>18</v>
      </c>
      <c r="D5" s="2">
        <v>9.031675115E9</v>
      </c>
      <c r="E5" s="2">
        <v>6.637936094E9</v>
      </c>
      <c r="F5" s="2">
        <v>-10.0</v>
      </c>
      <c r="G5" s="2">
        <v>89.99</v>
      </c>
      <c r="H5" s="2" t="b">
        <v>1</v>
      </c>
      <c r="I5" s="2" t="b">
        <v>0</v>
      </c>
      <c r="J5" s="2" t="b">
        <v>0</v>
      </c>
      <c r="K5" s="2" t="b">
        <v>0</v>
      </c>
      <c r="L5" s="3" t="s">
        <v>14</v>
      </c>
    </row>
    <row r="6" ht="15.75" customHeight="1">
      <c r="A6" s="1">
        <v>46083.8375</v>
      </c>
      <c r="B6" s="2" t="s">
        <v>17</v>
      </c>
      <c r="C6" s="2" t="s">
        <v>18</v>
      </c>
      <c r="D6" s="2">
        <v>9.031687706E9</v>
      </c>
      <c r="E6" s="2">
        <v>6.637945916E9</v>
      </c>
      <c r="F6" s="2">
        <v>-10.0</v>
      </c>
      <c r="G6" s="2">
        <v>79.99</v>
      </c>
      <c r="H6" s="2" t="b">
        <v>1</v>
      </c>
      <c r="I6" s="2" t="b">
        <v>0</v>
      </c>
      <c r="J6" s="2" t="b">
        <v>0</v>
      </c>
      <c r="K6" s="2" t="b">
        <v>0</v>
      </c>
      <c r="L6" s="3" t="s">
        <v>16</v>
      </c>
    </row>
    <row r="7" ht="15.75" customHeight="1">
      <c r="A7" s="1">
        <v>46083.845138888886</v>
      </c>
      <c r="B7" s="2" t="s">
        <v>17</v>
      </c>
      <c r="C7" s="2" t="s">
        <v>25</v>
      </c>
      <c r="D7" s="2">
        <v>9.031704665E9</v>
      </c>
      <c r="E7" s="2">
        <v>6.637958346E9</v>
      </c>
      <c r="F7" s="2">
        <v>-5.0</v>
      </c>
      <c r="G7" s="2">
        <v>74.99</v>
      </c>
      <c r="H7" s="2" t="b">
        <v>1</v>
      </c>
      <c r="I7" s="2" t="b">
        <v>0</v>
      </c>
      <c r="J7" s="2" t="b">
        <v>0</v>
      </c>
      <c r="K7" s="2" t="b">
        <v>0</v>
      </c>
      <c r="L7" s="3" t="s">
        <v>14</v>
      </c>
    </row>
    <row r="8" ht="15.75" customHeight="1">
      <c r="A8" s="1">
        <v>46083.84652777778</v>
      </c>
      <c r="B8" s="2" t="s">
        <v>17</v>
      </c>
      <c r="C8" s="2" t="s">
        <v>29</v>
      </c>
      <c r="D8" s="2">
        <v>9.031707877E9</v>
      </c>
      <c r="E8" s="2">
        <v>6.637960572E9</v>
      </c>
      <c r="F8" s="2">
        <v>-4.99</v>
      </c>
      <c r="G8" s="2">
        <v>70.0</v>
      </c>
      <c r="H8" s="2" t="b">
        <v>1</v>
      </c>
      <c r="I8" s="2" t="b">
        <v>0</v>
      </c>
      <c r="J8" s="2" t="b">
        <v>0</v>
      </c>
      <c r="K8" s="2" t="b">
        <v>0</v>
      </c>
      <c r="L8" s="3" t="s">
        <v>14</v>
      </c>
    </row>
    <row r="9" ht="15.75" customHeight="1">
      <c r="A9" s="1">
        <v>46084.62222222222</v>
      </c>
      <c r="B9" s="2" t="s">
        <v>17</v>
      </c>
      <c r="C9" s="2" t="s">
        <v>34</v>
      </c>
      <c r="D9" s="2">
        <v>9.032484311E9</v>
      </c>
      <c r="E9" s="2">
        <v>6.6385233E9</v>
      </c>
      <c r="F9" s="2">
        <v>-10.0</v>
      </c>
      <c r="G9" s="2">
        <v>60.0</v>
      </c>
      <c r="H9" s="2" t="b">
        <v>1</v>
      </c>
      <c r="I9" s="2" t="b">
        <v>0</v>
      </c>
      <c r="J9" s="2" t="b">
        <v>0</v>
      </c>
      <c r="K9" s="2" t="b">
        <v>0</v>
      </c>
      <c r="L9" s="3" t="s">
        <v>15</v>
      </c>
    </row>
    <row r="10" ht="15.75" customHeight="1">
      <c r="A10" s="1">
        <v>46084.768055555556</v>
      </c>
      <c r="B10" s="2" t="s">
        <v>37</v>
      </c>
      <c r="C10" s="2" t="s">
        <v>18</v>
      </c>
      <c r="D10" s="2">
        <v>9.032917935E9</v>
      </c>
      <c r="E10" s="2">
        <v>6.637936094E9</v>
      </c>
      <c r="F10" s="2">
        <v>10.0</v>
      </c>
      <c r="G10" s="2">
        <v>70.0</v>
      </c>
      <c r="H10" s="2" t="b">
        <v>1</v>
      </c>
      <c r="I10" s="2" t="b">
        <v>0</v>
      </c>
      <c r="J10" s="2" t="b">
        <v>0</v>
      </c>
      <c r="K10" s="2" t="b">
        <v>0</v>
      </c>
      <c r="L10" s="3" t="s">
        <v>14</v>
      </c>
    </row>
    <row r="11" ht="15.75" customHeight="1">
      <c r="A11" s="1">
        <v>46084.87291666667</v>
      </c>
      <c r="B11" s="2" t="s">
        <v>17</v>
      </c>
      <c r="C11" s="2" t="s">
        <v>18</v>
      </c>
      <c r="D11" s="2">
        <v>9.033163581E9</v>
      </c>
      <c r="E11" s="2">
        <v>6.639009494E9</v>
      </c>
      <c r="F11" s="2">
        <v>-10.0</v>
      </c>
      <c r="G11" s="2">
        <v>60.0</v>
      </c>
      <c r="H11" s="2" t="b">
        <v>1</v>
      </c>
      <c r="I11" s="2" t="b">
        <v>0</v>
      </c>
      <c r="J11" s="2" t="b">
        <v>0</v>
      </c>
      <c r="K11" s="2" t="b">
        <v>0</v>
      </c>
      <c r="L11" s="3" t="s">
        <v>14</v>
      </c>
    </row>
    <row r="12" ht="15.75" customHeight="1">
      <c r="A12" s="1">
        <v>46086.925</v>
      </c>
      <c r="B12" s="2" t="s">
        <v>41</v>
      </c>
      <c r="C12" s="2" t="s">
        <v>18</v>
      </c>
      <c r="D12" s="2">
        <v>9.038396443E9</v>
      </c>
      <c r="E12" s="2">
        <v>6.637945916E9</v>
      </c>
      <c r="F12" s="2">
        <v>18.0</v>
      </c>
      <c r="G12" s="2">
        <v>78.0</v>
      </c>
      <c r="H12" s="2" t="b">
        <v>1</v>
      </c>
      <c r="I12" s="2" t="b">
        <v>0</v>
      </c>
      <c r="J12" s="2" t="b">
        <v>0</v>
      </c>
      <c r="K12" s="2" t="b">
        <v>0</v>
      </c>
      <c r="L12" s="3" t="s">
        <v>16</v>
      </c>
    </row>
    <row r="13" ht="15.75" customHeight="1">
      <c r="A13" s="1">
        <v>46086.93472222222</v>
      </c>
      <c r="B13" s="2" t="s">
        <v>17</v>
      </c>
      <c r="C13" s="2" t="s">
        <v>42</v>
      </c>
      <c r="D13" s="2">
        <v>9.038464339E9</v>
      </c>
      <c r="E13" s="2">
        <v>6.642760139E9</v>
      </c>
      <c r="F13" s="2">
        <v>-10.0</v>
      </c>
      <c r="G13" s="2">
        <v>68.0</v>
      </c>
      <c r="H13" s="2" t="b">
        <v>1</v>
      </c>
      <c r="I13" s="2" t="b">
        <v>0</v>
      </c>
      <c r="J13" s="2" t="b">
        <v>0</v>
      </c>
      <c r="K13" s="2" t="b">
        <v>0</v>
      </c>
      <c r="L13" s="3" t="s">
        <v>16</v>
      </c>
    </row>
    <row r="14" ht="15.75" customHeight="1">
      <c r="A14" s="1">
        <v>46088.37152777778</v>
      </c>
      <c r="B14" s="2" t="s">
        <v>17</v>
      </c>
      <c r="C14" s="2" t="s">
        <v>43</v>
      </c>
      <c r="D14" s="2">
        <v>9.042740875E9</v>
      </c>
      <c r="E14" s="2">
        <v>6.645938439E9</v>
      </c>
      <c r="F14" s="2">
        <v>-10.0</v>
      </c>
      <c r="G14" s="2">
        <v>58.0</v>
      </c>
      <c r="H14" s="2" t="b">
        <v>1</v>
      </c>
      <c r="I14" s="2" t="b">
        <v>0</v>
      </c>
      <c r="J14" s="2" t="b">
        <v>0</v>
      </c>
      <c r="K14" s="2" t="b">
        <v>0</v>
      </c>
      <c r="L14" s="3" t="s">
        <v>15</v>
      </c>
    </row>
    <row r="15" ht="15.75" customHeight="1">
      <c r="A15" s="1">
        <v>46088.40277777778</v>
      </c>
      <c r="B15" s="2" t="s">
        <v>17</v>
      </c>
      <c r="C15" s="2" t="s">
        <v>43</v>
      </c>
      <c r="D15" s="2">
        <v>9.042847151E9</v>
      </c>
      <c r="E15" s="2">
        <v>6.646024495E9</v>
      </c>
      <c r="F15" s="2">
        <v>0.0</v>
      </c>
      <c r="G15" s="2">
        <v>58.0</v>
      </c>
      <c r="H15" s="2" t="b">
        <v>1</v>
      </c>
      <c r="I15" s="2" t="b">
        <v>0</v>
      </c>
      <c r="J15" s="2" t="b">
        <v>0</v>
      </c>
      <c r="K15" s="2" t="b">
        <v>0</v>
      </c>
      <c r="L15" s="3" t="s">
        <v>14</v>
      </c>
    </row>
    <row r="16" ht="15.75" customHeight="1">
      <c r="A16" s="1">
        <v>46088.76388888889</v>
      </c>
      <c r="B16" s="2" t="s">
        <v>35</v>
      </c>
      <c r="C16" s="2" t="s">
        <v>43</v>
      </c>
      <c r="D16" s="2">
        <v>9.048021533E9</v>
      </c>
      <c r="E16" s="2">
        <v>6.646024495E9</v>
      </c>
      <c r="F16" s="2">
        <v>4.96</v>
      </c>
      <c r="G16" s="2">
        <v>62.96</v>
      </c>
      <c r="H16" s="2" t="b">
        <v>1</v>
      </c>
      <c r="I16" s="2" t="b">
        <v>0</v>
      </c>
      <c r="J16" s="2" t="b">
        <v>0</v>
      </c>
      <c r="K16" s="2" t="b">
        <v>0</v>
      </c>
      <c r="L16" s="3" t="s">
        <v>14</v>
      </c>
    </row>
    <row r="17" ht="15.75" customHeight="1">
      <c r="A17" s="1">
        <v>46088.93680555555</v>
      </c>
      <c r="B17" s="2" t="s">
        <v>17</v>
      </c>
      <c r="C17" s="2" t="s">
        <v>44</v>
      </c>
      <c r="D17" s="2">
        <v>9.049301842E9</v>
      </c>
      <c r="E17" s="2">
        <v>6.65074435E9</v>
      </c>
      <c r="F17" s="2">
        <v>0.0</v>
      </c>
      <c r="G17" s="2">
        <v>62.96</v>
      </c>
      <c r="H17" s="2" t="b">
        <v>1</v>
      </c>
      <c r="I17" s="2" t="b">
        <v>0</v>
      </c>
      <c r="J17" s="2" t="b">
        <v>0</v>
      </c>
      <c r="K17" s="2" t="b">
        <v>0</v>
      </c>
      <c r="L17" s="3" t="s">
        <v>15</v>
      </c>
    </row>
    <row r="18" ht="15.75" customHeight="1">
      <c r="A18" s="1">
        <v>46088.96875</v>
      </c>
      <c r="B18" s="2" t="s">
        <v>17</v>
      </c>
      <c r="C18" s="2" t="s">
        <v>42</v>
      </c>
      <c r="D18" s="2">
        <v>9.049398262E9</v>
      </c>
      <c r="E18" s="2">
        <v>6.6508175E9</v>
      </c>
      <c r="F18" s="2">
        <v>0.0</v>
      </c>
      <c r="G18" s="2">
        <v>62.96</v>
      </c>
      <c r="H18" s="2" t="b">
        <v>1</v>
      </c>
      <c r="I18" s="2" t="b">
        <v>0</v>
      </c>
      <c r="J18" s="2" t="b">
        <v>0</v>
      </c>
      <c r="K18" s="2" t="b">
        <v>0</v>
      </c>
      <c r="L18" s="3" t="s">
        <v>14</v>
      </c>
    </row>
    <row r="19" ht="15.75" customHeight="1">
      <c r="A19" s="1">
        <v>46089.9125</v>
      </c>
      <c r="B19" s="2" t="s">
        <v>41</v>
      </c>
      <c r="C19" s="2" t="s">
        <v>44</v>
      </c>
      <c r="D19" s="2">
        <v>9.052899653E9</v>
      </c>
      <c r="E19" s="2">
        <v>6.65074435E9</v>
      </c>
      <c r="F19" s="2">
        <v>9.7</v>
      </c>
      <c r="G19" s="2">
        <v>72.66</v>
      </c>
      <c r="H19" s="2" t="b">
        <v>1</v>
      </c>
      <c r="I19" s="2" t="b">
        <v>0</v>
      </c>
      <c r="J19" s="2" t="b">
        <v>0</v>
      </c>
      <c r="K19" s="2" t="b">
        <v>0</v>
      </c>
      <c r="L19" s="3" t="s">
        <v>15</v>
      </c>
    </row>
    <row r="20" ht="15.75" customHeight="1">
      <c r="A20" s="1">
        <v>46090.697222222225</v>
      </c>
      <c r="B20" s="2" t="s">
        <v>17</v>
      </c>
      <c r="C20" s="2" t="s">
        <v>45</v>
      </c>
      <c r="D20" s="2">
        <v>9.054634452E9</v>
      </c>
      <c r="E20" s="2">
        <v>6.654570835E9</v>
      </c>
      <c r="F20" s="2">
        <v>0.0</v>
      </c>
      <c r="G20" s="2">
        <v>72.66</v>
      </c>
      <c r="H20" s="2" t="b">
        <v>1</v>
      </c>
      <c r="I20" s="2" t="b">
        <v>0</v>
      </c>
      <c r="J20" s="2" t="b">
        <v>0</v>
      </c>
      <c r="K20" s="2" t="b">
        <v>0</v>
      </c>
      <c r="L20" s="3" t="s">
        <v>16</v>
      </c>
    </row>
    <row r="21" ht="15.75" customHeight="1">
      <c r="A21" s="1">
        <v>46091.83888888889</v>
      </c>
      <c r="B21" s="2" t="s">
        <v>17</v>
      </c>
      <c r="C21" s="2" t="s">
        <v>45</v>
      </c>
      <c r="D21" s="2">
        <v>9.056728747E9</v>
      </c>
      <c r="E21" s="2">
        <v>6.656075998E9</v>
      </c>
      <c r="F21" s="2">
        <v>-7.5</v>
      </c>
      <c r="G21" s="2">
        <v>65.16</v>
      </c>
      <c r="H21" s="2" t="b">
        <v>1</v>
      </c>
      <c r="I21" s="2" t="b">
        <v>0</v>
      </c>
      <c r="J21" s="2" t="b">
        <v>0</v>
      </c>
      <c r="K21" s="2" t="b">
        <v>0</v>
      </c>
      <c r="L21" s="3" t="s">
        <v>14</v>
      </c>
    </row>
    <row r="22" ht="15.75" customHeight="1">
      <c r="A22" s="1">
        <v>46091.84097222222</v>
      </c>
      <c r="B22" s="2" t="s">
        <v>17</v>
      </c>
      <c r="C22" s="2" t="s">
        <v>46</v>
      </c>
      <c r="D22" s="2">
        <v>9.056733782E9</v>
      </c>
      <c r="E22" s="2">
        <v>6.656079905E9</v>
      </c>
      <c r="F22" s="2">
        <v>-7.5</v>
      </c>
      <c r="G22" s="2">
        <v>57.66</v>
      </c>
      <c r="H22" s="2" t="b">
        <v>1</v>
      </c>
      <c r="I22" s="2" t="b">
        <v>0</v>
      </c>
      <c r="J22" s="2" t="b">
        <v>0</v>
      </c>
      <c r="K22" s="2" t="b">
        <v>0</v>
      </c>
      <c r="L22" s="3" t="s">
        <v>14</v>
      </c>
    </row>
    <row r="23" ht="15.75" customHeight="1">
      <c r="A23" s="1">
        <v>46092.76736111111</v>
      </c>
      <c r="B23" s="2" t="s">
        <v>37</v>
      </c>
      <c r="C23" s="2" t="s">
        <v>45</v>
      </c>
      <c r="D23" s="2">
        <v>9.058740156E9</v>
      </c>
      <c r="E23" s="2">
        <v>6.656075998E9</v>
      </c>
      <c r="F23" s="2">
        <v>7.5</v>
      </c>
      <c r="G23" s="2">
        <v>65.16</v>
      </c>
      <c r="H23" s="2" t="b">
        <v>1</v>
      </c>
      <c r="I23" s="2" t="b">
        <v>0</v>
      </c>
      <c r="J23" s="2" t="b">
        <v>0</v>
      </c>
      <c r="K23" s="2" t="b">
        <v>0</v>
      </c>
      <c r="L23" s="3" t="s">
        <v>14</v>
      </c>
    </row>
    <row r="24" ht="15.75" customHeight="1">
      <c r="A24" s="1">
        <v>46092.775</v>
      </c>
      <c r="B24" s="2" t="s">
        <v>17</v>
      </c>
      <c r="C24" s="2" t="s">
        <v>45</v>
      </c>
      <c r="D24" s="2">
        <v>9.058783295E9</v>
      </c>
      <c r="E24" s="2">
        <v>6.657552408E9</v>
      </c>
      <c r="F24" s="2">
        <v>0.0</v>
      </c>
      <c r="G24" s="2">
        <v>65.16</v>
      </c>
      <c r="H24" s="2" t="b">
        <v>1</v>
      </c>
      <c r="I24" s="2" t="b">
        <v>0</v>
      </c>
      <c r="J24" s="2" t="b">
        <v>0</v>
      </c>
      <c r="K24" s="2" t="b">
        <v>0</v>
      </c>
      <c r="L24" s="3" t="s">
        <v>16</v>
      </c>
    </row>
    <row r="25" ht="15.75" customHeight="1">
      <c r="A25" s="1">
        <v>46092.77847222222</v>
      </c>
      <c r="B25" s="2" t="s">
        <v>17</v>
      </c>
      <c r="C25" s="2" t="s">
        <v>47</v>
      </c>
      <c r="D25" s="2">
        <v>9.05880058E9</v>
      </c>
      <c r="E25" s="2">
        <v>6.657566416E9</v>
      </c>
      <c r="F25" s="2">
        <v>-7.5</v>
      </c>
      <c r="G25" s="2">
        <v>57.66</v>
      </c>
      <c r="H25" s="2" t="b">
        <v>1</v>
      </c>
      <c r="I25" s="2" t="b">
        <v>0</v>
      </c>
      <c r="J25" s="2" t="b">
        <v>0</v>
      </c>
      <c r="K25" s="2" t="b">
        <v>0</v>
      </c>
      <c r="L25" s="3" t="s">
        <v>14</v>
      </c>
    </row>
    <row r="26" ht="15.75" customHeight="1">
      <c r="A26" s="1">
        <v>46093.46875</v>
      </c>
      <c r="B26" s="2" t="s">
        <v>17</v>
      </c>
      <c r="C26" s="2" t="s">
        <v>48</v>
      </c>
      <c r="D26" s="2">
        <v>9.060009E9</v>
      </c>
      <c r="E26" s="2">
        <v>6.658449122E9</v>
      </c>
      <c r="F26" s="2">
        <v>-10.0</v>
      </c>
      <c r="G26" s="2">
        <v>47.66</v>
      </c>
      <c r="H26" s="2" t="b">
        <v>1</v>
      </c>
      <c r="I26" s="2" t="b">
        <v>0</v>
      </c>
      <c r="J26" s="2" t="b">
        <v>0</v>
      </c>
      <c r="K26" s="2" t="b">
        <v>0</v>
      </c>
      <c r="L26" s="3" t="s">
        <v>16</v>
      </c>
    </row>
    <row r="27" ht="15.75" customHeight="1">
      <c r="A27" s="1">
        <v>46093.768055555556</v>
      </c>
      <c r="B27" s="2" t="s">
        <v>37</v>
      </c>
      <c r="C27" s="2" t="s">
        <v>46</v>
      </c>
      <c r="D27" s="2">
        <v>9.061346571E9</v>
      </c>
      <c r="E27" s="2">
        <v>6.656079905E9</v>
      </c>
      <c r="F27" s="2">
        <v>7.5</v>
      </c>
      <c r="G27" s="2">
        <v>55.16</v>
      </c>
      <c r="H27" s="2" t="b">
        <v>1</v>
      </c>
      <c r="I27" s="2" t="b">
        <v>0</v>
      </c>
      <c r="J27" s="2" t="b">
        <v>0</v>
      </c>
      <c r="K27" s="2" t="b">
        <v>0</v>
      </c>
      <c r="L27" s="3" t="s">
        <v>14</v>
      </c>
    </row>
    <row r="28" ht="15.75" customHeight="1">
      <c r="A28" s="1">
        <v>46094.36111111111</v>
      </c>
      <c r="B28" s="2" t="s">
        <v>17</v>
      </c>
      <c r="C28" s="2" t="s">
        <v>49</v>
      </c>
      <c r="D28" s="2">
        <v>9.062935127E9</v>
      </c>
      <c r="E28" s="2">
        <v>6.660522915E9</v>
      </c>
      <c r="F28" s="2">
        <v>-10.0</v>
      </c>
      <c r="G28" s="2">
        <v>45.16</v>
      </c>
      <c r="H28" s="2" t="b">
        <v>1</v>
      </c>
      <c r="I28" s="2" t="b">
        <v>0</v>
      </c>
      <c r="J28" s="2" t="b">
        <v>0</v>
      </c>
      <c r="K28" s="2" t="b">
        <v>0</v>
      </c>
      <c r="L28" s="3" t="s">
        <v>15</v>
      </c>
    </row>
    <row r="29" ht="15.75" customHeight="1">
      <c r="A29" s="1">
        <v>46094.4125</v>
      </c>
      <c r="B29" s="2" t="s">
        <v>17</v>
      </c>
      <c r="C29" s="2" t="s">
        <v>46</v>
      </c>
      <c r="D29" s="2">
        <v>9.063031945E9</v>
      </c>
      <c r="E29" s="2">
        <v>6.660597684E9</v>
      </c>
      <c r="F29" s="2">
        <v>-7.5</v>
      </c>
      <c r="G29" s="2">
        <v>37.66</v>
      </c>
      <c r="H29" s="2" t="b">
        <v>1</v>
      </c>
      <c r="I29" s="2" t="b">
        <v>0</v>
      </c>
      <c r="J29" s="2" t="b">
        <v>0</v>
      </c>
      <c r="K29" s="2" t="b">
        <v>0</v>
      </c>
      <c r="L29" s="3" t="s">
        <v>14</v>
      </c>
    </row>
    <row r="30" ht="15.75" customHeight="1">
      <c r="A30" s="1">
        <v>46094.75763888889</v>
      </c>
      <c r="B30" s="2" t="s">
        <v>17</v>
      </c>
      <c r="C30" s="2" t="s">
        <v>50</v>
      </c>
      <c r="D30" s="2">
        <v>9.064774323E9</v>
      </c>
      <c r="E30" s="2">
        <v>6.661879475E9</v>
      </c>
      <c r="F30" s="2">
        <v>-5.0</v>
      </c>
      <c r="G30" s="2">
        <v>32.66</v>
      </c>
      <c r="H30" s="2" t="b">
        <v>1</v>
      </c>
      <c r="I30" s="2" t="b">
        <v>0</v>
      </c>
      <c r="J30" s="2" t="b">
        <v>0</v>
      </c>
      <c r="K30" s="2" t="b">
        <v>0</v>
      </c>
      <c r="L30" s="3" t="s">
        <v>16</v>
      </c>
    </row>
    <row r="31" ht="15.75" customHeight="1">
      <c r="A31" s="1">
        <v>46094.92847222222</v>
      </c>
      <c r="B31" s="2" t="s">
        <v>41</v>
      </c>
      <c r="C31" s="2" t="s">
        <v>46</v>
      </c>
      <c r="D31" s="2">
        <v>9.066085096E9</v>
      </c>
      <c r="E31" s="2">
        <v>6.660597684E9</v>
      </c>
      <c r="F31" s="2">
        <v>17.25</v>
      </c>
      <c r="G31" s="2">
        <v>49.91</v>
      </c>
      <c r="H31" s="2" t="b">
        <v>1</v>
      </c>
      <c r="I31" s="2" t="b">
        <v>0</v>
      </c>
      <c r="J31" s="2" t="b">
        <v>0</v>
      </c>
      <c r="K31" s="2" t="b">
        <v>0</v>
      </c>
      <c r="L31" s="3" t="s">
        <v>14</v>
      </c>
    </row>
    <row r="32" ht="15.75" customHeight="1">
      <c r="A32" s="1">
        <v>46095.52847222222</v>
      </c>
      <c r="B32" s="2" t="s">
        <v>37</v>
      </c>
      <c r="C32" s="2" t="s">
        <v>50</v>
      </c>
      <c r="D32" s="2">
        <v>9.06772943E9</v>
      </c>
      <c r="E32" s="2">
        <v>6.661879475E9</v>
      </c>
      <c r="F32" s="2">
        <v>5.0</v>
      </c>
      <c r="G32" s="2">
        <v>54.91</v>
      </c>
      <c r="H32" s="2" t="b">
        <v>1</v>
      </c>
      <c r="I32" s="2" t="b">
        <v>0</v>
      </c>
      <c r="J32" s="2" t="b">
        <v>0</v>
      </c>
      <c r="K32" s="2" t="b">
        <v>0</v>
      </c>
      <c r="L32" s="3" t="s">
        <v>16</v>
      </c>
    </row>
    <row r="33" ht="15.75" customHeight="1">
      <c r="A33" s="1">
        <v>46095.67361111111</v>
      </c>
      <c r="B33" s="2" t="s">
        <v>41</v>
      </c>
      <c r="C33" s="2" t="s">
        <v>47</v>
      </c>
      <c r="D33" s="2">
        <v>9.070354951E9</v>
      </c>
      <c r="E33" s="2">
        <v>6.657566416E9</v>
      </c>
      <c r="F33" s="2">
        <v>24.0</v>
      </c>
      <c r="G33" s="2">
        <v>78.91</v>
      </c>
      <c r="H33" s="2" t="b">
        <v>1</v>
      </c>
      <c r="I33" s="2" t="b">
        <v>0</v>
      </c>
      <c r="J33" s="2" t="b">
        <v>0</v>
      </c>
      <c r="K33" s="2" t="b">
        <v>0</v>
      </c>
      <c r="L33" s="3" t="s">
        <v>14</v>
      </c>
    </row>
    <row r="34" ht="15.75" customHeight="1">
      <c r="A34" s="1">
        <v>46095.691666666666</v>
      </c>
      <c r="B34" s="2" t="s">
        <v>17</v>
      </c>
      <c r="C34" s="2" t="s">
        <v>51</v>
      </c>
      <c r="D34" s="2">
        <v>9.070679134E9</v>
      </c>
      <c r="E34" s="2">
        <v>6.666239264E9</v>
      </c>
      <c r="F34" s="2">
        <v>-5.0</v>
      </c>
      <c r="G34" s="2">
        <v>73.91</v>
      </c>
      <c r="H34" s="2" t="b">
        <v>1</v>
      </c>
      <c r="I34" s="2" t="b">
        <v>0</v>
      </c>
      <c r="J34" s="2" t="b">
        <v>0</v>
      </c>
      <c r="K34" s="2" t="b">
        <v>0</v>
      </c>
      <c r="L34" s="3" t="s">
        <v>15</v>
      </c>
    </row>
    <row r="35" ht="15.75" customHeight="1">
      <c r="A35" s="1">
        <v>46095.79722222222</v>
      </c>
      <c r="B35" s="2" t="s">
        <v>17</v>
      </c>
      <c r="C35" s="2" t="s">
        <v>50</v>
      </c>
      <c r="D35" s="2">
        <v>9.072228241E9</v>
      </c>
      <c r="E35" s="2">
        <v>6.667335692E9</v>
      </c>
      <c r="F35" s="2">
        <v>-5.0</v>
      </c>
      <c r="G35" s="2">
        <v>68.91</v>
      </c>
      <c r="H35" s="2" t="b">
        <v>1</v>
      </c>
      <c r="I35" s="2" t="b">
        <v>0</v>
      </c>
      <c r="J35" s="2" t="b">
        <v>0</v>
      </c>
      <c r="K35" s="2" t="b">
        <v>0</v>
      </c>
      <c r="L35" s="3" t="s">
        <v>16</v>
      </c>
    </row>
    <row r="36" ht="15.75" customHeight="1">
      <c r="A36" s="1">
        <v>46096.86736111111</v>
      </c>
      <c r="B36" s="2" t="s">
        <v>41</v>
      </c>
      <c r="C36" s="2" t="s">
        <v>50</v>
      </c>
      <c r="D36" s="2">
        <v>9.076303746E9</v>
      </c>
      <c r="E36" s="2">
        <v>6.667335692E9</v>
      </c>
      <c r="F36" s="2">
        <v>13.4</v>
      </c>
      <c r="G36" s="2">
        <v>82.31</v>
      </c>
      <c r="H36" s="2" t="b">
        <v>1</v>
      </c>
      <c r="I36" s="2" t="b">
        <v>0</v>
      </c>
      <c r="J36" s="2" t="b">
        <v>0</v>
      </c>
      <c r="K36" s="2" t="b">
        <v>0</v>
      </c>
      <c r="L36" s="3" t="s">
        <v>16</v>
      </c>
    </row>
    <row r="37" ht="15.75" customHeight="1">
      <c r="A37" s="1">
        <v>46097.736805555556</v>
      </c>
      <c r="B37" s="2" t="s">
        <v>17</v>
      </c>
      <c r="C37" s="2" t="s">
        <v>52</v>
      </c>
      <c r="D37" s="2">
        <v>9.077318438E9</v>
      </c>
      <c r="E37" s="2">
        <v>6.670933888E9</v>
      </c>
      <c r="F37" s="2">
        <v>-8.0</v>
      </c>
      <c r="G37" s="2">
        <v>74.31</v>
      </c>
      <c r="H37" s="2" t="b">
        <v>1</v>
      </c>
      <c r="I37" s="2" t="b">
        <v>0</v>
      </c>
      <c r="J37" s="2" t="b">
        <v>0</v>
      </c>
      <c r="K37" s="2" t="b">
        <v>0</v>
      </c>
      <c r="L37" s="3" t="s">
        <v>14</v>
      </c>
    </row>
    <row r="38" ht="15.75" customHeight="1">
      <c r="A38" s="1">
        <v>46097.7375</v>
      </c>
      <c r="B38" s="2" t="s">
        <v>17</v>
      </c>
      <c r="C38" s="2" t="s">
        <v>53</v>
      </c>
      <c r="D38" s="2">
        <v>9.077320223E9</v>
      </c>
      <c r="E38" s="2">
        <v>6.670935375E9</v>
      </c>
      <c r="F38" s="2">
        <v>-8.0</v>
      </c>
      <c r="G38" s="2">
        <v>66.31</v>
      </c>
      <c r="H38" s="2" t="b">
        <v>1</v>
      </c>
      <c r="I38" s="2" t="b">
        <v>0</v>
      </c>
      <c r="J38" s="2" t="b">
        <v>0</v>
      </c>
      <c r="K38" s="2" t="b">
        <v>0</v>
      </c>
      <c r="L38" s="3" t="s">
        <v>14</v>
      </c>
    </row>
    <row r="39" ht="15.75" customHeight="1">
      <c r="A39" s="1">
        <v>46097.75277777778</v>
      </c>
      <c r="B39" s="2" t="s">
        <v>17</v>
      </c>
      <c r="C39" s="2" t="s">
        <v>54</v>
      </c>
      <c r="D39" s="2">
        <v>9.077348172E9</v>
      </c>
      <c r="E39" s="2">
        <v>6.670955869E9</v>
      </c>
      <c r="F39" s="2">
        <v>-16.0</v>
      </c>
      <c r="G39" s="2">
        <v>50.31</v>
      </c>
      <c r="H39" s="2" t="b">
        <v>1</v>
      </c>
      <c r="I39" s="2" t="b">
        <v>0</v>
      </c>
      <c r="J39" s="2" t="b">
        <v>0</v>
      </c>
      <c r="K39" s="2" t="b">
        <v>0</v>
      </c>
      <c r="L39" s="3" t="s">
        <v>16</v>
      </c>
    </row>
    <row r="40" ht="15.75" customHeight="1">
      <c r="A40" s="1">
        <v>46100.729166666664</v>
      </c>
      <c r="B40" s="2" t="s">
        <v>17</v>
      </c>
      <c r="C40" s="2" t="s">
        <v>52</v>
      </c>
      <c r="D40" s="2">
        <v>9.083040963E9</v>
      </c>
      <c r="E40" s="2">
        <v>6.67501376E9</v>
      </c>
      <c r="F40" s="2">
        <v>-6.0</v>
      </c>
      <c r="G40" s="2">
        <v>44.31</v>
      </c>
      <c r="H40" s="2" t="b">
        <v>1</v>
      </c>
      <c r="I40" s="2" t="b">
        <v>0</v>
      </c>
      <c r="J40" s="2" t="b">
        <v>0</v>
      </c>
      <c r="K40" s="2" t="b">
        <v>0</v>
      </c>
      <c r="L40" s="3" t="s">
        <v>15</v>
      </c>
    </row>
    <row r="41" ht="15.75" customHeight="1">
      <c r="A41" s="1">
        <v>46100.93680555555</v>
      </c>
      <c r="B41" s="2" t="s">
        <v>41</v>
      </c>
      <c r="C41" s="2" t="s">
        <v>52</v>
      </c>
      <c r="D41" s="2">
        <v>9.084411181E9</v>
      </c>
      <c r="E41" s="2">
        <v>6.670933888E9</v>
      </c>
      <c r="F41" s="2">
        <v>21.44</v>
      </c>
      <c r="G41" s="2">
        <v>65.75</v>
      </c>
      <c r="H41" s="2" t="b">
        <v>1</v>
      </c>
      <c r="I41" s="2" t="b">
        <v>0</v>
      </c>
      <c r="J41" s="2" t="b">
        <v>0</v>
      </c>
      <c r="K41" s="2" t="b">
        <v>0</v>
      </c>
      <c r="L41" s="3" t="s">
        <v>14</v>
      </c>
    </row>
    <row r="42" ht="15.75" customHeight="1">
      <c r="A42" s="1">
        <v>46101.63680555556</v>
      </c>
      <c r="B42" s="2" t="s">
        <v>17</v>
      </c>
      <c r="C42" s="2" t="s">
        <v>55</v>
      </c>
      <c r="D42" s="2">
        <v>9.085764744E9</v>
      </c>
      <c r="E42" s="2">
        <v>6.676937373E9</v>
      </c>
      <c r="F42" s="2">
        <v>-6.0</v>
      </c>
      <c r="G42" s="2">
        <v>59.75</v>
      </c>
      <c r="H42" s="2" t="b">
        <v>1</v>
      </c>
      <c r="I42" s="2" t="b">
        <v>0</v>
      </c>
      <c r="J42" s="2" t="b">
        <v>0</v>
      </c>
      <c r="K42" s="2" t="b">
        <v>0</v>
      </c>
      <c r="L42" s="3" t="s">
        <v>15</v>
      </c>
    </row>
    <row r="43" ht="15.75" customHeight="1">
      <c r="A43" s="1">
        <v>46101.94027777778</v>
      </c>
      <c r="B43" s="2" t="s">
        <v>17</v>
      </c>
      <c r="C43" s="2" t="s">
        <v>54</v>
      </c>
      <c r="D43" s="2">
        <v>9.087955234E9</v>
      </c>
      <c r="E43" s="2">
        <v>6.678499688E9</v>
      </c>
      <c r="F43" s="2">
        <v>-6.0</v>
      </c>
      <c r="G43" s="2">
        <v>53.75</v>
      </c>
      <c r="H43" s="2" t="b">
        <v>1</v>
      </c>
      <c r="I43" s="2" t="b">
        <v>0</v>
      </c>
      <c r="J43" s="2" t="b">
        <v>0</v>
      </c>
      <c r="K43" s="2" t="b">
        <v>0</v>
      </c>
      <c r="L43" s="3" t="s">
        <v>15</v>
      </c>
    </row>
    <row r="44" ht="15.75" customHeight="1">
      <c r="A44" s="1">
        <v>46102.634722222225</v>
      </c>
      <c r="B44" s="2" t="s">
        <v>17</v>
      </c>
      <c r="C44" s="2" t="s">
        <v>56</v>
      </c>
      <c r="D44" s="2">
        <v>9.091487995E9</v>
      </c>
      <c r="E44" s="2">
        <v>6.681187653E9</v>
      </c>
      <c r="F44" s="2">
        <v>-10.0</v>
      </c>
      <c r="G44" s="2">
        <v>43.75</v>
      </c>
      <c r="H44" s="2" t="b">
        <v>1</v>
      </c>
      <c r="I44" s="2" t="b">
        <v>0</v>
      </c>
      <c r="J44" s="2" t="b">
        <v>0</v>
      </c>
      <c r="K44" s="2" t="b">
        <v>0</v>
      </c>
      <c r="L44" s="3" t="s">
        <v>15</v>
      </c>
    </row>
    <row r="45" ht="15.75" customHeight="1">
      <c r="A45" s="1">
        <v>46102.663194444445</v>
      </c>
      <c r="B45" s="2" t="s">
        <v>41</v>
      </c>
      <c r="C45" s="2" t="s">
        <v>54</v>
      </c>
      <c r="D45" s="2">
        <v>9.092006123E9</v>
      </c>
      <c r="E45" s="2">
        <v>6.678499688E9</v>
      </c>
      <c r="F45" s="2">
        <v>12.3</v>
      </c>
      <c r="G45" s="2">
        <v>56.05</v>
      </c>
      <c r="H45" s="2" t="b">
        <v>1</v>
      </c>
      <c r="I45" s="2" t="b">
        <v>0</v>
      </c>
      <c r="J45" s="2" t="b">
        <v>0</v>
      </c>
      <c r="K45" s="2" t="b">
        <v>0</v>
      </c>
      <c r="L45" s="3" t="s">
        <v>15</v>
      </c>
    </row>
    <row r="46" ht="15.75" customHeight="1">
      <c r="A46" s="1">
        <v>46102.669444444444</v>
      </c>
      <c r="B46" s="2" t="s">
        <v>35</v>
      </c>
      <c r="C46" s="2" t="s">
        <v>56</v>
      </c>
      <c r="D46" s="2">
        <v>9.092145984E9</v>
      </c>
      <c r="E46" s="2">
        <v>6.681187653E9</v>
      </c>
      <c r="F46" s="2">
        <v>9.5</v>
      </c>
      <c r="G46" s="2">
        <v>65.55</v>
      </c>
      <c r="H46" s="2" t="b">
        <v>1</v>
      </c>
      <c r="I46" s="2" t="b">
        <v>0</v>
      </c>
      <c r="J46" s="2" t="b">
        <v>0</v>
      </c>
      <c r="K46" s="2" t="b">
        <v>0</v>
      </c>
      <c r="L46" s="3" t="s">
        <v>15</v>
      </c>
    </row>
    <row r="47" ht="15.75" customHeight="1">
      <c r="A47" s="1">
        <v>46104.645833333336</v>
      </c>
      <c r="B47" s="2" t="s">
        <v>17</v>
      </c>
      <c r="C47" s="2" t="s">
        <v>57</v>
      </c>
      <c r="D47" s="2">
        <v>9.099147238E9</v>
      </c>
      <c r="E47" s="2">
        <v>6.68653975E9</v>
      </c>
      <c r="F47" s="2">
        <v>-6.5</v>
      </c>
      <c r="G47" s="2">
        <v>59.05</v>
      </c>
      <c r="H47" s="2" t="b">
        <v>1</v>
      </c>
      <c r="I47" s="2" t="b">
        <v>0</v>
      </c>
      <c r="J47" s="2" t="b">
        <v>0</v>
      </c>
      <c r="K47" s="2" t="b">
        <v>0</v>
      </c>
      <c r="L47" s="2" t="s">
        <v>14</v>
      </c>
    </row>
    <row r="48" ht="15.75" customHeight="1">
      <c r="A48" s="1">
        <v>46105.62430555555</v>
      </c>
      <c r="B48" s="2" t="s">
        <v>17</v>
      </c>
      <c r="C48" s="2" t="s">
        <v>58</v>
      </c>
      <c r="D48" s="2">
        <v>9.100416211E9</v>
      </c>
      <c r="E48" s="2">
        <v>6.687447848E9</v>
      </c>
      <c r="F48" s="2">
        <v>-6.5</v>
      </c>
      <c r="G48" s="2">
        <v>52.55</v>
      </c>
      <c r="H48" s="2" t="b">
        <v>1</v>
      </c>
      <c r="I48" s="2" t="b">
        <v>0</v>
      </c>
      <c r="J48" s="2" t="b">
        <v>0</v>
      </c>
      <c r="K48" s="2" t="b">
        <v>0</v>
      </c>
      <c r="L48" s="2" t="s">
        <v>14</v>
      </c>
    </row>
    <row r="49" ht="15.75" customHeight="1">
      <c r="A49" s="1">
        <v>46105.811111111114</v>
      </c>
      <c r="B49" s="2" t="s">
        <v>17</v>
      </c>
      <c r="C49" s="2" t="s">
        <v>59</v>
      </c>
      <c r="D49" s="2">
        <v>9.100926631E9</v>
      </c>
      <c r="E49" s="2">
        <v>6.687818978E9</v>
      </c>
      <c r="F49" s="2">
        <v>-7.0</v>
      </c>
      <c r="G49" s="2">
        <v>45.55</v>
      </c>
      <c r="H49" s="2" t="b">
        <v>1</v>
      </c>
      <c r="I49" s="2" t="b">
        <v>0</v>
      </c>
      <c r="J49" s="2" t="b">
        <v>0</v>
      </c>
      <c r="K49" s="2" t="b">
        <v>0</v>
      </c>
      <c r="L49" s="2" t="s">
        <v>16</v>
      </c>
    </row>
    <row r="50" ht="15.75" customHeight="1">
      <c r="A50" s="1">
        <v>46109.368055555555</v>
      </c>
      <c r="B50" s="2" t="s">
        <v>17</v>
      </c>
      <c r="C50" s="2" t="s">
        <v>60</v>
      </c>
      <c r="D50" s="2">
        <v>9.110466193E9</v>
      </c>
      <c r="E50" s="2">
        <v>6.694589011E9</v>
      </c>
      <c r="F50" s="2">
        <v>-6.5</v>
      </c>
      <c r="G50" s="2">
        <v>39.05</v>
      </c>
      <c r="H50" s="2" t="b">
        <v>1</v>
      </c>
      <c r="I50" s="2" t="b">
        <v>0</v>
      </c>
      <c r="J50" s="2" t="b">
        <v>0</v>
      </c>
      <c r="K50" s="2" t="b">
        <v>0</v>
      </c>
      <c r="L50" s="2" t="s">
        <v>15</v>
      </c>
    </row>
    <row r="51" ht="15.75" customHeight="1">
      <c r="A51" s="1">
        <v>46109.634722222225</v>
      </c>
      <c r="B51" s="2" t="s">
        <v>41</v>
      </c>
      <c r="C51" s="2" t="s">
        <v>59</v>
      </c>
      <c r="D51" s="2">
        <v>9.113392984E9</v>
      </c>
      <c r="E51" s="2">
        <v>6.687818978E9</v>
      </c>
      <c r="F51" s="2">
        <v>23.8</v>
      </c>
      <c r="G51" s="2">
        <v>62.85</v>
      </c>
      <c r="H51" s="2" t="b">
        <v>1</v>
      </c>
      <c r="I51" s="2" t="b">
        <v>0</v>
      </c>
      <c r="J51" s="2" t="b">
        <v>0</v>
      </c>
      <c r="K51" s="2" t="b">
        <v>0</v>
      </c>
      <c r="L51" s="2" t="s">
        <v>16</v>
      </c>
    </row>
    <row r="52" ht="15.75" customHeight="1">
      <c r="A52" s="1">
        <v>46109.68125</v>
      </c>
      <c r="B52" s="2" t="s">
        <v>17</v>
      </c>
      <c r="C52" s="2" t="s">
        <v>61</v>
      </c>
      <c r="D52" s="2">
        <v>9.114331485E9</v>
      </c>
      <c r="E52" s="2">
        <v>6.697495669E9</v>
      </c>
      <c r="F52" s="2">
        <v>-6.5</v>
      </c>
      <c r="G52" s="2">
        <v>56.35</v>
      </c>
      <c r="H52" s="2" t="b">
        <v>1</v>
      </c>
      <c r="I52" s="2" t="b">
        <v>0</v>
      </c>
      <c r="J52" s="2" t="b">
        <v>0</v>
      </c>
      <c r="K52" s="2" t="b">
        <v>0</v>
      </c>
      <c r="L52" s="2" t="s">
        <v>15</v>
      </c>
    </row>
    <row r="53" ht="15.75" customHeight="1">
      <c r="A53" s="1">
        <v>46110.538194444445</v>
      </c>
      <c r="B53" s="2" t="s">
        <v>17</v>
      </c>
      <c r="C53" s="2" t="s">
        <v>62</v>
      </c>
      <c r="D53" s="2">
        <v>9.117650077E9</v>
      </c>
      <c r="E53" s="2">
        <v>6.699894374E9</v>
      </c>
      <c r="F53" s="2">
        <v>-6.0</v>
      </c>
      <c r="G53" s="2">
        <v>50.35</v>
      </c>
      <c r="H53" s="2" t="b">
        <v>1</v>
      </c>
      <c r="I53" s="2" t="b">
        <v>0</v>
      </c>
      <c r="J53" s="2" t="b">
        <v>0</v>
      </c>
      <c r="K53" s="2" t="b">
        <v>0</v>
      </c>
      <c r="L53" s="2" t="s">
        <v>16</v>
      </c>
    </row>
    <row r="54" ht="15.75" customHeight="1">
      <c r="A54" s="1">
        <v>46111.61736111111</v>
      </c>
      <c r="B54" s="2" t="s">
        <v>17</v>
      </c>
      <c r="C54" s="2" t="s">
        <v>63</v>
      </c>
      <c r="D54" s="2">
        <v>9.120410627E9</v>
      </c>
      <c r="E54" s="2">
        <v>6.70183603E9</v>
      </c>
      <c r="F54" s="2">
        <v>-5.0</v>
      </c>
      <c r="G54" s="2">
        <v>45.35</v>
      </c>
      <c r="H54" s="2" t="b">
        <v>1</v>
      </c>
      <c r="I54" s="2" t="b">
        <v>0</v>
      </c>
      <c r="J54" s="2" t="b">
        <v>0</v>
      </c>
      <c r="K54" s="2" t="b">
        <v>0</v>
      </c>
      <c r="L54" s="2" t="s">
        <v>14</v>
      </c>
    </row>
    <row r="55" ht="15.75" customHeight="1">
      <c r="A55" s="1">
        <v>46111.62430555555</v>
      </c>
      <c r="B55" s="2" t="s">
        <v>17</v>
      </c>
      <c r="C55" s="2" t="s">
        <v>64</v>
      </c>
      <c r="D55" s="2">
        <v>9.120424365E9</v>
      </c>
      <c r="E55" s="2">
        <v>6.701845398E9</v>
      </c>
      <c r="F55" s="2">
        <v>-5.0</v>
      </c>
      <c r="G55" s="2">
        <v>40.35</v>
      </c>
      <c r="H55" s="2" t="b">
        <v>1</v>
      </c>
      <c r="I55" s="2" t="b">
        <v>0</v>
      </c>
      <c r="J55" s="2" t="b">
        <v>0</v>
      </c>
      <c r="K55" s="2" t="b">
        <v>0</v>
      </c>
      <c r="L55" s="2" t="s">
        <v>14</v>
      </c>
    </row>
    <row r="56" ht="15.75" customHeight="1">
      <c r="A56" s="1">
        <v>46111.73472222222</v>
      </c>
      <c r="B56" s="2" t="s">
        <v>17</v>
      </c>
      <c r="C56" s="2" t="s">
        <v>65</v>
      </c>
      <c r="D56" s="2">
        <v>9.120721164E9</v>
      </c>
      <c r="E56" s="2">
        <v>6.702045514E9</v>
      </c>
      <c r="F56" s="2">
        <v>-10.0</v>
      </c>
      <c r="G56" s="2">
        <v>30.35</v>
      </c>
      <c r="H56" s="2" t="b">
        <v>1</v>
      </c>
      <c r="I56" s="2" t="b">
        <v>0</v>
      </c>
      <c r="J56" s="2" t="b">
        <v>0</v>
      </c>
      <c r="K56" s="2" t="b">
        <v>0</v>
      </c>
      <c r="L56" s="2" t="s">
        <v>16</v>
      </c>
    </row>
    <row r="57" ht="15.75" customHeight="1">
      <c r="A57" s="1">
        <v>46112.563888888886</v>
      </c>
      <c r="B57" s="2" t="s">
        <v>17</v>
      </c>
      <c r="C57" s="2" t="s">
        <v>65</v>
      </c>
      <c r="D57" s="2">
        <v>9.121680216E9</v>
      </c>
      <c r="E57" s="2">
        <v>6.702740881E9</v>
      </c>
      <c r="F57" s="2">
        <v>-5.0</v>
      </c>
      <c r="G57" s="2">
        <v>25.35</v>
      </c>
      <c r="H57" s="2" t="b">
        <v>1</v>
      </c>
      <c r="I57" s="2" t="b">
        <v>0</v>
      </c>
      <c r="J57" s="2" t="b">
        <v>0</v>
      </c>
      <c r="K57" s="2" t="b">
        <v>0</v>
      </c>
      <c r="L57" s="2" t="s">
        <v>15</v>
      </c>
    </row>
    <row r="58" ht="15.75" customHeight="1">
      <c r="A58" s="1">
        <v>46114.80138888889</v>
      </c>
      <c r="B58" s="2" t="s">
        <v>37</v>
      </c>
      <c r="C58" s="2" t="s">
        <v>63</v>
      </c>
      <c r="D58" s="2">
        <v>9.127326704E9</v>
      </c>
      <c r="E58" s="2">
        <v>6.70183603E9</v>
      </c>
      <c r="F58" s="2">
        <v>5.0</v>
      </c>
      <c r="G58" s="2">
        <v>30.35</v>
      </c>
      <c r="H58" s="2" t="b">
        <v>1</v>
      </c>
      <c r="I58" s="2" t="b">
        <v>0</v>
      </c>
      <c r="J58" s="2" t="b">
        <v>0</v>
      </c>
      <c r="K58" s="2" t="b">
        <v>0</v>
      </c>
      <c r="L58" s="2" t="s">
        <v>14</v>
      </c>
    </row>
    <row r="59" ht="15.75" customHeight="1">
      <c r="A59" s="1">
        <v>46115.53125</v>
      </c>
      <c r="B59" s="2" t="s">
        <v>17</v>
      </c>
      <c r="C59" s="2" t="s">
        <v>66</v>
      </c>
      <c r="D59" s="2">
        <v>9.129406013E9</v>
      </c>
      <c r="E59" s="2">
        <v>6.708247988E9</v>
      </c>
      <c r="F59" s="2">
        <v>-5.0</v>
      </c>
      <c r="G59" s="2">
        <v>25.35</v>
      </c>
      <c r="H59" s="2" t="b">
        <v>1</v>
      </c>
      <c r="I59" s="2" t="b">
        <v>0</v>
      </c>
      <c r="J59" s="2" t="b">
        <v>0</v>
      </c>
      <c r="K59" s="2" t="b">
        <v>0</v>
      </c>
      <c r="L59" s="2" t="s">
        <v>14</v>
      </c>
    </row>
    <row r="60" ht="15.75" customHeight="1">
      <c r="A60" s="1">
        <v>46115.67916666667</v>
      </c>
      <c r="B60" s="2" t="s">
        <v>41</v>
      </c>
      <c r="C60" s="2" t="s">
        <v>65</v>
      </c>
      <c r="D60" s="2">
        <v>9.130909968E9</v>
      </c>
      <c r="E60" s="2">
        <v>6.702740881E9</v>
      </c>
      <c r="F60" s="2">
        <v>10.5</v>
      </c>
      <c r="G60" s="2">
        <v>35.85</v>
      </c>
      <c r="H60" s="2" t="b">
        <v>1</v>
      </c>
      <c r="I60" s="2" t="b">
        <v>0</v>
      </c>
      <c r="J60" s="2" t="b">
        <v>0</v>
      </c>
      <c r="K60" s="2" t="b">
        <v>0</v>
      </c>
      <c r="L60" s="2" t="s">
        <v>15</v>
      </c>
    </row>
    <row r="61" ht="15.75" customHeight="1">
      <c r="A61" s="1">
        <v>46115.84027777778</v>
      </c>
      <c r="B61" s="2" t="s">
        <v>17</v>
      </c>
      <c r="C61" s="2" t="s">
        <v>67</v>
      </c>
      <c r="D61" s="2">
        <v>9.132437661E9</v>
      </c>
      <c r="E61" s="2">
        <v>6.710477359E9</v>
      </c>
      <c r="F61" s="2">
        <v>0.0</v>
      </c>
      <c r="G61" s="2">
        <v>35.85</v>
      </c>
      <c r="H61" s="2" t="b">
        <v>1</v>
      </c>
      <c r="I61" s="2" t="b">
        <v>0</v>
      </c>
      <c r="J61" s="2" t="b">
        <v>0</v>
      </c>
      <c r="K61" s="2" t="b">
        <v>0</v>
      </c>
      <c r="L61" s="2" t="s">
        <v>16</v>
      </c>
    </row>
    <row r="62" ht="15.75" customHeight="1">
      <c r="A62" s="1">
        <v>46116.36597222222</v>
      </c>
      <c r="B62" s="2" t="s">
        <v>17</v>
      </c>
      <c r="C62" s="2" t="s">
        <v>68</v>
      </c>
      <c r="D62" s="2">
        <v>9.133296438E9</v>
      </c>
      <c r="E62" s="2">
        <v>6.711073124E9</v>
      </c>
      <c r="F62" s="2">
        <v>-5.0</v>
      </c>
      <c r="G62" s="2">
        <v>30.85</v>
      </c>
      <c r="H62" s="2" t="b">
        <v>1</v>
      </c>
      <c r="I62" s="2" t="b">
        <v>0</v>
      </c>
      <c r="J62" s="2" t="b">
        <v>0</v>
      </c>
      <c r="K62" s="2" t="b">
        <v>0</v>
      </c>
      <c r="L62" s="2" t="s">
        <v>15</v>
      </c>
    </row>
    <row r="63" ht="15.75" customHeight="1">
      <c r="A63" s="1">
        <v>46116.84930555556</v>
      </c>
      <c r="B63" s="2" t="s">
        <v>41</v>
      </c>
      <c r="C63" s="2" t="s">
        <v>67</v>
      </c>
      <c r="D63" s="2">
        <v>9.139843508E9</v>
      </c>
      <c r="E63" s="2">
        <v>6.710477359E9</v>
      </c>
      <c r="F63" s="2">
        <v>20.0</v>
      </c>
      <c r="G63" s="2">
        <v>50.85</v>
      </c>
      <c r="H63" s="2" t="b">
        <v>1</v>
      </c>
      <c r="I63" s="2" t="b">
        <v>0</v>
      </c>
      <c r="J63" s="2" t="b">
        <v>0</v>
      </c>
      <c r="K63" s="2" t="b">
        <v>0</v>
      </c>
      <c r="L63" s="2" t="s">
        <v>16</v>
      </c>
    </row>
    <row r="64" ht="15.75" customHeight="1">
      <c r="A64" s="1">
        <v>46121.65416666667</v>
      </c>
      <c r="B64" s="2" t="s">
        <v>17</v>
      </c>
      <c r="C64" s="2" t="s">
        <v>69</v>
      </c>
      <c r="D64" s="2">
        <v>9.151966909E9</v>
      </c>
      <c r="E64" s="2">
        <v>6.724412138E9</v>
      </c>
      <c r="F64" s="2">
        <v>-5.0</v>
      </c>
      <c r="G64" s="2">
        <v>45.85</v>
      </c>
      <c r="H64" s="2" t="b">
        <v>1</v>
      </c>
      <c r="I64" s="2" t="b">
        <v>0</v>
      </c>
      <c r="J64" s="2" t="b">
        <v>0</v>
      </c>
      <c r="K64" s="2" t="b">
        <v>0</v>
      </c>
      <c r="L64" s="2" t="s">
        <v>16</v>
      </c>
    </row>
    <row r="65" ht="15.75" customHeight="1">
      <c r="A65" s="1">
        <v>46121.720138888886</v>
      </c>
      <c r="B65" s="2" t="s">
        <v>17</v>
      </c>
      <c r="C65" s="2" t="s">
        <v>70</v>
      </c>
      <c r="D65" s="2">
        <v>9.152345422E9</v>
      </c>
      <c r="E65" s="2">
        <v>6.724681239E9</v>
      </c>
      <c r="F65" s="2">
        <v>-10.0</v>
      </c>
      <c r="G65" s="2">
        <v>35.85</v>
      </c>
      <c r="H65" s="2" t="b">
        <v>1</v>
      </c>
      <c r="I65" s="2" t="b">
        <v>0</v>
      </c>
      <c r="J65" s="2" t="b">
        <v>0</v>
      </c>
      <c r="K65" s="2" t="b">
        <v>0</v>
      </c>
      <c r="L65" s="2" t="s">
        <v>14</v>
      </c>
    </row>
    <row r="66" ht="15.75" customHeight="1">
      <c r="A66" s="1">
        <v>46121.941666666666</v>
      </c>
      <c r="B66" s="2" t="s">
        <v>17</v>
      </c>
      <c r="C66" s="2" t="s">
        <v>71</v>
      </c>
      <c r="D66" s="2">
        <v>9.153884907E9</v>
      </c>
      <c r="E66" s="2">
        <v>6.72573879E9</v>
      </c>
      <c r="F66" s="2">
        <v>-5.0</v>
      </c>
      <c r="G66" s="2">
        <v>30.85</v>
      </c>
      <c r="H66" s="2" t="b">
        <v>1</v>
      </c>
      <c r="I66" s="2" t="b">
        <v>0</v>
      </c>
      <c r="J66" s="2" t="b">
        <v>0</v>
      </c>
      <c r="K66" s="2" t="b">
        <v>0</v>
      </c>
      <c r="L66" s="2" t="s">
        <v>16</v>
      </c>
    </row>
    <row r="67" ht="15.75" customHeight="1">
      <c r="A67" s="1">
        <v>46122.93263888889</v>
      </c>
      <c r="B67" s="2" t="s">
        <v>17</v>
      </c>
      <c r="C67" s="2" t="s">
        <v>72</v>
      </c>
      <c r="D67" s="2">
        <v>9.157684302E9</v>
      </c>
      <c r="E67" s="2">
        <v>6.728440074E9</v>
      </c>
      <c r="F67" s="2">
        <v>-5.0</v>
      </c>
      <c r="G67" s="2">
        <v>25.85</v>
      </c>
      <c r="H67" s="2" t="b">
        <v>1</v>
      </c>
      <c r="I67" s="2" t="b">
        <v>0</v>
      </c>
      <c r="J67" s="2" t="b">
        <v>0</v>
      </c>
      <c r="K67" s="2" t="b">
        <v>0</v>
      </c>
      <c r="L67" s="2" t="s">
        <v>15</v>
      </c>
    </row>
    <row r="68" ht="15.75" customHeight="1">
      <c r="A68" s="1">
        <v>46122.96666666667</v>
      </c>
      <c r="B68" s="2" t="s">
        <v>17</v>
      </c>
      <c r="C68" s="2" t="s">
        <v>73</v>
      </c>
      <c r="D68" s="2">
        <v>9.15781905E9</v>
      </c>
      <c r="E68" s="2">
        <v>6.728543866E9</v>
      </c>
      <c r="F68" s="2">
        <v>0.0</v>
      </c>
      <c r="G68" s="2">
        <v>25.85</v>
      </c>
      <c r="H68" s="2" t="b">
        <v>1</v>
      </c>
      <c r="I68" s="2" t="b">
        <v>0</v>
      </c>
      <c r="J68" s="2" t="b">
        <v>0</v>
      </c>
      <c r="K68" s="2" t="b">
        <v>0</v>
      </c>
      <c r="L68" s="2" t="s">
        <v>14</v>
      </c>
    </row>
    <row r="69" ht="15.75" customHeight="1">
      <c r="A69" s="1">
        <v>46123.66388888889</v>
      </c>
      <c r="B69" s="2" t="s">
        <v>17</v>
      </c>
      <c r="C69" s="2" t="s">
        <v>74</v>
      </c>
      <c r="D69" s="2">
        <v>9.162334629E9</v>
      </c>
      <c r="E69" s="2">
        <v>6.731933656E9</v>
      </c>
      <c r="F69" s="2">
        <v>-5.0</v>
      </c>
      <c r="G69" s="2">
        <v>20.85</v>
      </c>
      <c r="H69" s="2" t="b">
        <v>1</v>
      </c>
      <c r="I69" s="2" t="b">
        <v>0</v>
      </c>
      <c r="J69" s="2" t="b">
        <v>0</v>
      </c>
      <c r="K69" s="2" t="b">
        <v>0</v>
      </c>
      <c r="L69" s="2" t="s">
        <v>15</v>
      </c>
    </row>
    <row r="70" ht="15.75" customHeight="1">
      <c r="A70" s="1">
        <v>46124.73472222222</v>
      </c>
      <c r="B70" s="2" t="s">
        <v>41</v>
      </c>
      <c r="C70" s="2" t="s">
        <v>73</v>
      </c>
      <c r="D70" s="2">
        <v>9.167695468E9</v>
      </c>
      <c r="E70" s="2">
        <v>6.728543866E9</v>
      </c>
      <c r="F70" s="2">
        <v>18.75</v>
      </c>
      <c r="G70" s="2">
        <v>39.6</v>
      </c>
      <c r="H70" s="2" t="b">
        <v>1</v>
      </c>
      <c r="I70" s="2" t="b">
        <v>0</v>
      </c>
      <c r="J70" s="2" t="b">
        <v>0</v>
      </c>
      <c r="K70" s="2" t="b">
        <v>0</v>
      </c>
      <c r="L70" s="2" t="s">
        <v>14</v>
      </c>
    </row>
    <row r="71" ht="15.75" customHeight="1">
      <c r="A71" s="47">
        <v>46128.72986111111</v>
      </c>
      <c r="B71" s="3" t="s">
        <v>17</v>
      </c>
      <c r="C71" s="3" t="s">
        <v>75</v>
      </c>
      <c r="D71" s="48">
        <v>9.175287072E9</v>
      </c>
      <c r="E71" s="48">
        <v>6.741169959E9</v>
      </c>
      <c r="F71" s="48">
        <v>-8.0</v>
      </c>
      <c r="G71" s="48">
        <v>31.6</v>
      </c>
      <c r="H71" s="49" t="b">
        <v>1</v>
      </c>
      <c r="I71" s="49" t="b">
        <v>0</v>
      </c>
      <c r="J71" s="49" t="b">
        <v>0</v>
      </c>
      <c r="K71" s="49" t="b">
        <v>0</v>
      </c>
      <c r="L71" s="2" t="s">
        <v>15</v>
      </c>
    </row>
    <row r="72" ht="15.75" customHeight="1">
      <c r="A72" s="47">
        <v>46128.82152777778</v>
      </c>
      <c r="B72" s="3" t="s">
        <v>17</v>
      </c>
      <c r="C72" s="3" t="s">
        <v>76</v>
      </c>
      <c r="D72" s="48">
        <v>9.17609934E9</v>
      </c>
      <c r="E72" s="48">
        <v>6.741756672E9</v>
      </c>
      <c r="F72" s="48">
        <v>-8.0</v>
      </c>
      <c r="G72" s="48">
        <v>23.6</v>
      </c>
      <c r="H72" s="49" t="b">
        <v>1</v>
      </c>
      <c r="I72" s="49" t="b">
        <v>0</v>
      </c>
      <c r="J72" s="49" t="b">
        <v>0</v>
      </c>
      <c r="K72" s="49" t="b">
        <v>0</v>
      </c>
      <c r="L72" s="2" t="s">
        <v>14</v>
      </c>
    </row>
    <row r="73" ht="15.75" customHeight="1">
      <c r="A73" s="47">
        <v>46128.822222222225</v>
      </c>
      <c r="B73" s="3" t="s">
        <v>17</v>
      </c>
      <c r="C73" s="3" t="s">
        <v>77</v>
      </c>
      <c r="D73" s="48">
        <v>9.176105458E9</v>
      </c>
      <c r="E73" s="48">
        <v>6.741761309E9</v>
      </c>
      <c r="F73" s="48">
        <v>-8.0</v>
      </c>
      <c r="G73" s="48">
        <v>15.6</v>
      </c>
      <c r="H73" s="49" t="b">
        <v>1</v>
      </c>
      <c r="I73" s="49" t="b">
        <v>0</v>
      </c>
      <c r="J73" s="49" t="b">
        <v>0</v>
      </c>
      <c r="K73" s="49" t="b">
        <v>0</v>
      </c>
      <c r="L73" s="2" t="s">
        <v>16</v>
      </c>
    </row>
    <row r="74" ht="15.75" customHeight="1">
      <c r="A74" s="47">
        <v>46128.92291666667</v>
      </c>
      <c r="B74" s="3" t="s">
        <v>41</v>
      </c>
      <c r="C74" s="3" t="s">
        <v>75</v>
      </c>
      <c r="D74" s="48">
        <v>9.176744902E9</v>
      </c>
      <c r="E74" s="48">
        <v>6.741169959E9</v>
      </c>
      <c r="F74" s="48">
        <v>16.96</v>
      </c>
      <c r="G74" s="48">
        <v>32.56</v>
      </c>
      <c r="H74" s="49" t="b">
        <v>1</v>
      </c>
      <c r="I74" s="49" t="b">
        <v>0</v>
      </c>
      <c r="J74" s="49" t="b">
        <v>0</v>
      </c>
      <c r="K74" s="49" t="b">
        <v>0</v>
      </c>
      <c r="L74" s="2" t="s">
        <v>15</v>
      </c>
    </row>
    <row r="75" ht="15.75" customHeight="1">
      <c r="A75" s="47">
        <v>46129.86944444444</v>
      </c>
      <c r="B75" s="3" t="s">
        <v>37</v>
      </c>
      <c r="C75" s="3" t="s">
        <v>77</v>
      </c>
      <c r="D75" s="48">
        <v>9.180013333E9</v>
      </c>
      <c r="E75" s="48">
        <v>6.741761309E9</v>
      </c>
      <c r="F75" s="48">
        <v>8.0</v>
      </c>
      <c r="G75" s="48">
        <v>40.56</v>
      </c>
      <c r="H75" s="49" t="b">
        <v>1</v>
      </c>
      <c r="I75" s="49" t="b">
        <v>0</v>
      </c>
      <c r="J75" s="49" t="b">
        <v>0</v>
      </c>
      <c r="K75" s="49" t="b">
        <v>0</v>
      </c>
      <c r="L75" s="2" t="s">
        <v>16</v>
      </c>
    </row>
    <row r="76" ht="15.75" customHeight="1">
      <c r="A76" s="47">
        <v>46129.879166666666</v>
      </c>
      <c r="B76" s="3" t="s">
        <v>17</v>
      </c>
      <c r="C76" s="3" t="s">
        <v>78</v>
      </c>
      <c r="D76" s="48">
        <v>9.180136285E9</v>
      </c>
      <c r="E76" s="48">
        <v>6.744474731E9</v>
      </c>
      <c r="F76" s="48">
        <v>-8.0</v>
      </c>
      <c r="G76" s="48">
        <v>32.56</v>
      </c>
      <c r="H76" s="49" t="b">
        <v>1</v>
      </c>
      <c r="I76" s="49" t="b">
        <v>0</v>
      </c>
      <c r="J76" s="49" t="b">
        <v>0</v>
      </c>
      <c r="K76" s="49" t="b">
        <v>0</v>
      </c>
      <c r="L76" s="2" t="s">
        <v>16</v>
      </c>
    </row>
    <row r="77" ht="15.75" customHeight="1">
      <c r="A77" s="47">
        <v>46129.958333333336</v>
      </c>
      <c r="B77" s="3" t="s">
        <v>41</v>
      </c>
      <c r="C77" s="3" t="s">
        <v>76</v>
      </c>
      <c r="D77" s="48">
        <v>9.180517536E9</v>
      </c>
      <c r="E77" s="48">
        <v>6.741756672E9</v>
      </c>
      <c r="F77" s="48">
        <v>18.0</v>
      </c>
      <c r="G77" s="48">
        <v>50.56</v>
      </c>
      <c r="H77" s="49" t="b">
        <v>1</v>
      </c>
      <c r="I77" s="49" t="b">
        <v>0</v>
      </c>
      <c r="J77" s="49" t="b">
        <v>0</v>
      </c>
      <c r="K77" s="49" t="b">
        <v>0</v>
      </c>
      <c r="L77" s="2" t="s">
        <v>14</v>
      </c>
    </row>
    <row r="78" ht="15.75" customHeight="1">
      <c r="A78" s="47">
        <v>46130.654861111114</v>
      </c>
      <c r="B78" s="3" t="s">
        <v>41</v>
      </c>
      <c r="C78" s="3" t="s">
        <v>78</v>
      </c>
      <c r="D78" s="48">
        <v>9.184475139E9</v>
      </c>
      <c r="E78" s="48">
        <v>6.744474731E9</v>
      </c>
      <c r="F78" s="48">
        <v>27.6</v>
      </c>
      <c r="G78" s="48">
        <v>78.16</v>
      </c>
      <c r="H78" s="49" t="b">
        <v>1</v>
      </c>
      <c r="I78" s="49" t="b">
        <v>0</v>
      </c>
      <c r="J78" s="49" t="b">
        <v>0</v>
      </c>
      <c r="K78" s="49" t="b">
        <v>0</v>
      </c>
      <c r="L78" s="2" t="s">
        <v>16</v>
      </c>
    </row>
    <row r="79" ht="15.75" customHeight="1">
      <c r="A79" s="47">
        <v>46135.46597222222</v>
      </c>
      <c r="B79" s="3" t="s">
        <v>17</v>
      </c>
      <c r="C79" s="3" t="s">
        <v>79</v>
      </c>
      <c r="D79" s="48">
        <v>9.196275137E9</v>
      </c>
      <c r="E79" s="48">
        <v>6.756116871E9</v>
      </c>
      <c r="F79" s="48">
        <v>-2.0</v>
      </c>
      <c r="G79" s="48">
        <v>76.16</v>
      </c>
      <c r="H79" s="49" t="b">
        <v>1</v>
      </c>
      <c r="I79" s="49" t="b">
        <v>0</v>
      </c>
      <c r="J79" s="49" t="b">
        <v>0</v>
      </c>
      <c r="K79" s="49" t="b">
        <v>0</v>
      </c>
      <c r="L79" s="2" t="s">
        <v>16</v>
      </c>
    </row>
    <row r="80" ht="15.75" customHeight="1">
      <c r="A80" s="47">
        <v>46135.748611111114</v>
      </c>
      <c r="B80" s="3" t="s">
        <v>17</v>
      </c>
      <c r="C80" s="3" t="s">
        <v>79</v>
      </c>
      <c r="D80" s="48">
        <v>9.197491866E9</v>
      </c>
      <c r="E80" s="48">
        <v>6.756970055E9</v>
      </c>
      <c r="F80" s="48">
        <v>-15.0</v>
      </c>
      <c r="G80" s="48">
        <v>61.16</v>
      </c>
      <c r="H80" s="49" t="b">
        <v>1</v>
      </c>
      <c r="I80" s="49" t="b">
        <v>0</v>
      </c>
      <c r="J80" s="49" t="b">
        <v>0</v>
      </c>
      <c r="K80" s="49" t="b">
        <v>0</v>
      </c>
      <c r="L80" s="2" t="s">
        <v>15</v>
      </c>
    </row>
    <row r="81" ht="15.75" customHeight="1">
      <c r="A81" s="47">
        <v>46135.83541666667</v>
      </c>
      <c r="B81" s="3" t="s">
        <v>17</v>
      </c>
      <c r="C81" s="3" t="s">
        <v>80</v>
      </c>
      <c r="D81" s="48">
        <v>9.198231967E9</v>
      </c>
      <c r="E81" s="48">
        <v>6.757509011E9</v>
      </c>
      <c r="F81" s="48">
        <v>-15.0</v>
      </c>
      <c r="G81" s="48">
        <v>46.16</v>
      </c>
      <c r="H81" s="49" t="b">
        <v>1</v>
      </c>
      <c r="I81" s="49" t="b">
        <v>0</v>
      </c>
      <c r="J81" s="49" t="b">
        <v>0</v>
      </c>
      <c r="K81" s="49" t="b">
        <v>0</v>
      </c>
      <c r="L81" s="2" t="s">
        <v>14</v>
      </c>
    </row>
    <row r="82" ht="15.75" customHeight="1">
      <c r="A82" s="47">
        <v>46135.90416666667</v>
      </c>
      <c r="B82" s="3" t="s">
        <v>17</v>
      </c>
      <c r="C82" s="3" t="s">
        <v>81</v>
      </c>
      <c r="D82" s="48">
        <v>9.198483152E9</v>
      </c>
      <c r="E82" s="48">
        <v>6.757683615E9</v>
      </c>
      <c r="F82" s="48">
        <v>-8.0</v>
      </c>
      <c r="G82" s="48">
        <v>38.16</v>
      </c>
      <c r="H82" s="49" t="b">
        <v>1</v>
      </c>
      <c r="I82" s="49" t="b">
        <v>0</v>
      </c>
      <c r="J82" s="49" t="b">
        <v>0</v>
      </c>
      <c r="K82" s="49" t="b">
        <v>0</v>
      </c>
      <c r="L82" s="2" t="s">
        <v>16</v>
      </c>
    </row>
    <row r="83" ht="15.75" customHeight="1">
      <c r="A83" s="47">
        <v>46135.92638888889</v>
      </c>
      <c r="B83" s="3" t="s">
        <v>41</v>
      </c>
      <c r="C83" s="3" t="s">
        <v>79</v>
      </c>
      <c r="D83" s="48">
        <v>9.198601091E9</v>
      </c>
      <c r="E83" s="48">
        <v>6.756970055E9</v>
      </c>
      <c r="F83" s="48">
        <v>30.0</v>
      </c>
      <c r="G83" s="48">
        <v>68.16</v>
      </c>
      <c r="H83" s="49" t="b">
        <v>1</v>
      </c>
      <c r="I83" s="49" t="b">
        <v>0</v>
      </c>
      <c r="J83" s="49" t="b">
        <v>0</v>
      </c>
      <c r="K83" s="49" t="b">
        <v>0</v>
      </c>
      <c r="L83" s="2" t="s">
        <v>15</v>
      </c>
    </row>
    <row r="84" ht="15.75" customHeight="1">
      <c r="A84" s="47">
        <v>46136.75069444445</v>
      </c>
      <c r="B84" s="3" t="s">
        <v>37</v>
      </c>
      <c r="C84" s="3" t="s">
        <v>80</v>
      </c>
      <c r="D84" s="48">
        <v>9.200835173E9</v>
      </c>
      <c r="E84" s="48">
        <v>6.757509011E9</v>
      </c>
      <c r="F84" s="48">
        <v>15.0</v>
      </c>
      <c r="G84" s="48">
        <v>83.16</v>
      </c>
      <c r="H84" s="49" t="b">
        <v>1</v>
      </c>
      <c r="I84" s="49" t="b">
        <v>0</v>
      </c>
      <c r="J84" s="49" t="b">
        <v>0</v>
      </c>
      <c r="K84" s="49" t="b">
        <v>0</v>
      </c>
      <c r="L84" s="2" t="s">
        <v>14</v>
      </c>
    </row>
    <row r="85" ht="15.75" customHeight="1">
      <c r="A85" s="47">
        <v>46136.86944444444</v>
      </c>
      <c r="B85" s="3" t="s">
        <v>17</v>
      </c>
      <c r="C85" s="3" t="s">
        <v>82</v>
      </c>
      <c r="D85" s="48">
        <v>9.201777353E9</v>
      </c>
      <c r="E85" s="48">
        <v>6.760053406E9</v>
      </c>
      <c r="F85" s="48">
        <v>-7.5</v>
      </c>
      <c r="G85" s="48">
        <v>75.66</v>
      </c>
      <c r="H85" s="49" t="b">
        <v>1</v>
      </c>
      <c r="I85" s="49" t="b">
        <v>0</v>
      </c>
      <c r="J85" s="49" t="b">
        <v>0</v>
      </c>
      <c r="K85" s="49" t="b">
        <v>0</v>
      </c>
      <c r="L85" s="2" t="s">
        <v>14</v>
      </c>
    </row>
    <row r="86" ht="15.75" customHeight="1">
      <c r="A86" s="47">
        <v>46136.87222222222</v>
      </c>
      <c r="B86" s="3" t="s">
        <v>17</v>
      </c>
      <c r="C86" s="3" t="s">
        <v>83</v>
      </c>
      <c r="D86" s="48">
        <v>9.201787565E9</v>
      </c>
      <c r="E86" s="48">
        <v>6.760061001E9</v>
      </c>
      <c r="F86" s="48">
        <v>-7.5</v>
      </c>
      <c r="G86" s="48">
        <v>68.16</v>
      </c>
      <c r="H86" s="49" t="b">
        <v>1</v>
      </c>
      <c r="I86" s="49" t="b">
        <v>0</v>
      </c>
      <c r="J86" s="49" t="b">
        <v>0</v>
      </c>
      <c r="K86" s="49" t="b">
        <v>0</v>
      </c>
      <c r="L86" s="2" t="s">
        <v>14</v>
      </c>
    </row>
    <row r="87" ht="15.75" customHeight="1">
      <c r="A87" s="47">
        <v>46136.876388888886</v>
      </c>
      <c r="B87" s="3" t="s">
        <v>17</v>
      </c>
      <c r="C87" s="3" t="s">
        <v>85</v>
      </c>
      <c r="D87" s="48">
        <v>9.20182483E9</v>
      </c>
      <c r="E87" s="48">
        <v>6.760071551E9</v>
      </c>
      <c r="F87" s="48">
        <v>-5.0</v>
      </c>
      <c r="G87" s="48">
        <v>63.16</v>
      </c>
      <c r="H87" s="49" t="b">
        <v>1</v>
      </c>
      <c r="I87" s="49" t="b">
        <v>0</v>
      </c>
      <c r="J87" s="49" t="b">
        <v>0</v>
      </c>
      <c r="K87" s="49" t="b">
        <v>0</v>
      </c>
      <c r="L87" s="2" t="s">
        <v>16</v>
      </c>
    </row>
    <row r="88" ht="15.75" customHeight="1">
      <c r="A88" s="47">
        <v>46137.90069444444</v>
      </c>
      <c r="B88" s="3" t="s">
        <v>41</v>
      </c>
      <c r="C88" s="3" t="s">
        <v>85</v>
      </c>
      <c r="D88" s="48">
        <v>9.209062884E9</v>
      </c>
      <c r="E88" s="48">
        <v>6.760071551E9</v>
      </c>
      <c r="F88" s="48">
        <v>15.5</v>
      </c>
      <c r="G88" s="48">
        <v>78.66</v>
      </c>
      <c r="H88" s="49" t="b">
        <v>1</v>
      </c>
      <c r="I88" s="49" t="b">
        <v>0</v>
      </c>
      <c r="J88" s="49" t="b">
        <v>0</v>
      </c>
      <c r="K88" s="49" t="b">
        <v>0</v>
      </c>
      <c r="L88" s="2" t="s">
        <v>16</v>
      </c>
    </row>
    <row r="89" ht="15.75" customHeight="1">
      <c r="A89" s="47">
        <v>46142.311111111114</v>
      </c>
      <c r="B89" s="3" t="s">
        <v>17</v>
      </c>
      <c r="C89" s="3" t="s">
        <v>86</v>
      </c>
      <c r="D89" s="48">
        <v>9.218285278E9</v>
      </c>
      <c r="E89" s="48">
        <v>6.771963019E9</v>
      </c>
      <c r="F89" s="48">
        <v>-15.0</v>
      </c>
      <c r="G89" s="48">
        <v>63.66</v>
      </c>
      <c r="H89" s="49" t="b">
        <v>1</v>
      </c>
      <c r="I89" s="49" t="b">
        <v>0</v>
      </c>
      <c r="J89" s="49" t="b">
        <v>0</v>
      </c>
      <c r="K89" s="49" t="b">
        <v>0</v>
      </c>
      <c r="L89" s="2" t="s">
        <v>14</v>
      </c>
    </row>
    <row r="90" ht="15.75" customHeight="1">
      <c r="A90" s="47">
        <v>46142.92291666667</v>
      </c>
      <c r="B90" s="3" t="s">
        <v>41</v>
      </c>
      <c r="C90" s="3" t="s">
        <v>86</v>
      </c>
      <c r="D90" s="48">
        <v>9.220748151E9</v>
      </c>
      <c r="E90" s="48">
        <v>6.771963019E9</v>
      </c>
      <c r="F90" s="48">
        <v>35.25</v>
      </c>
      <c r="G90" s="48">
        <v>98.91</v>
      </c>
      <c r="H90" s="49" t="b">
        <v>1</v>
      </c>
      <c r="I90" s="49" t="b">
        <v>0</v>
      </c>
      <c r="J90" s="49" t="b">
        <v>0</v>
      </c>
      <c r="K90" s="49" t="b">
        <v>0</v>
      </c>
      <c r="L90" s="2" t="s">
        <v>14</v>
      </c>
    </row>
    <row r="91" ht="15.75" customHeight="1">
      <c r="A91" s="47">
        <v>46142.930555555555</v>
      </c>
      <c r="B91" s="3" t="s">
        <v>17</v>
      </c>
      <c r="C91" s="3" t="s">
        <v>87</v>
      </c>
      <c r="D91" s="48">
        <v>9.220807783E9</v>
      </c>
      <c r="E91" s="48">
        <v>6.773697082E9</v>
      </c>
      <c r="F91" s="48">
        <v>-15.0</v>
      </c>
      <c r="G91" s="48">
        <v>83.91</v>
      </c>
      <c r="H91" s="49" t="b">
        <v>1</v>
      </c>
      <c r="I91" s="49" t="b">
        <v>0</v>
      </c>
      <c r="J91" s="49" t="b">
        <v>0</v>
      </c>
      <c r="K91" s="49" t="b">
        <v>0</v>
      </c>
      <c r="L91" s="2" t="s">
        <v>16</v>
      </c>
    </row>
    <row r="92" ht="15.75" customHeight="1">
      <c r="A92" s="47">
        <v>46143.64861111111</v>
      </c>
      <c r="B92" s="3" t="s">
        <v>17</v>
      </c>
      <c r="C92" s="3" t="s">
        <v>89</v>
      </c>
      <c r="D92" s="48">
        <v>9.222290349E9</v>
      </c>
      <c r="E92" s="48">
        <v>6.774769806E9</v>
      </c>
      <c r="F92" s="48">
        <v>-15.0</v>
      </c>
      <c r="G92" s="48">
        <v>68.91</v>
      </c>
      <c r="H92" s="49" t="b">
        <v>1</v>
      </c>
      <c r="I92" s="49" t="b">
        <v>0</v>
      </c>
      <c r="J92" s="49" t="b">
        <v>0</v>
      </c>
      <c r="K92" s="49" t="b">
        <v>0</v>
      </c>
      <c r="L92" s="2" t="s">
        <v>15</v>
      </c>
    </row>
    <row r="93" ht="15.75" customHeight="1">
      <c r="A93" s="47">
        <v>46143.958333333336</v>
      </c>
      <c r="B93" s="3" t="s">
        <v>17</v>
      </c>
      <c r="C93" s="3" t="s">
        <v>91</v>
      </c>
      <c r="D93" s="48">
        <v>9.224436527E9</v>
      </c>
      <c r="E93" s="48">
        <v>6.776291459E9</v>
      </c>
      <c r="F93" s="48">
        <v>0.0</v>
      </c>
      <c r="G93" s="48">
        <v>68.91</v>
      </c>
      <c r="H93" s="49" t="b">
        <v>1</v>
      </c>
      <c r="I93" s="49" t="b">
        <v>0</v>
      </c>
      <c r="J93" s="49" t="b">
        <v>0</v>
      </c>
      <c r="K93" s="49" t="b">
        <v>0</v>
      </c>
      <c r="L93" s="2" t="s">
        <v>16</v>
      </c>
    </row>
    <row r="94" ht="15.75" customHeight="1">
      <c r="A94" s="47">
        <v>46143.9625</v>
      </c>
      <c r="B94" s="3" t="s">
        <v>17</v>
      </c>
      <c r="C94" s="3" t="s">
        <v>92</v>
      </c>
      <c r="D94" s="48">
        <v>9.224447899E9</v>
      </c>
      <c r="E94" s="48">
        <v>6.77630032E9</v>
      </c>
      <c r="F94" s="48">
        <v>0.0</v>
      </c>
      <c r="G94" s="48">
        <v>68.91</v>
      </c>
      <c r="H94" s="49" t="b">
        <v>1</v>
      </c>
      <c r="I94" s="49" t="b">
        <v>0</v>
      </c>
      <c r="J94" s="49" t="b">
        <v>0</v>
      </c>
      <c r="K94" s="49" t="b">
        <v>0</v>
      </c>
      <c r="L94" s="2" t="s">
        <v>16</v>
      </c>
    </row>
    <row r="95" ht="15.75" customHeight="1">
      <c r="A95" s="47">
        <v>46147.78125</v>
      </c>
      <c r="B95" s="3" t="s">
        <v>17</v>
      </c>
      <c r="C95" s="3" t="s">
        <v>93</v>
      </c>
      <c r="D95" s="48">
        <v>9.236987747E9</v>
      </c>
      <c r="E95" s="48">
        <v>6.785322597E9</v>
      </c>
      <c r="F95" s="48">
        <v>-13.0</v>
      </c>
      <c r="G95" s="48">
        <v>55.91</v>
      </c>
      <c r="H95" s="49" t="b">
        <v>1</v>
      </c>
      <c r="I95" s="49" t="b">
        <v>0</v>
      </c>
      <c r="J95" s="49" t="b">
        <v>0</v>
      </c>
      <c r="K95" s="49" t="b">
        <v>0</v>
      </c>
      <c r="L95" s="2" t="s">
        <v>15</v>
      </c>
    </row>
    <row r="96" ht="15.75" customHeight="1">
      <c r="A96" s="47">
        <v>46149.82083333333</v>
      </c>
      <c r="B96" s="3" t="s">
        <v>17</v>
      </c>
      <c r="C96" s="3" t="s">
        <v>94</v>
      </c>
      <c r="D96" s="48">
        <v>9.24214278E9</v>
      </c>
      <c r="E96" s="48">
        <v>6.789002518E9</v>
      </c>
      <c r="F96" s="48">
        <v>-14.0</v>
      </c>
      <c r="G96" s="48">
        <v>41.91</v>
      </c>
      <c r="H96" s="49" t="b">
        <v>1</v>
      </c>
      <c r="I96" s="49" t="b">
        <v>0</v>
      </c>
      <c r="J96" s="49" t="b">
        <v>0</v>
      </c>
      <c r="K96" s="49" t="b">
        <v>0</v>
      </c>
      <c r="L96" s="2" t="s">
        <v>14</v>
      </c>
    </row>
    <row r="97" ht="15.75" customHeight="1">
      <c r="A97" s="47">
        <v>46149.87222222222</v>
      </c>
      <c r="B97" s="3" t="s">
        <v>17</v>
      </c>
      <c r="C97" s="3" t="s">
        <v>93</v>
      </c>
      <c r="D97" s="48">
        <v>9.242415251E9</v>
      </c>
      <c r="E97" s="48">
        <v>6.789200663E9</v>
      </c>
      <c r="F97" s="48">
        <v>-1.0</v>
      </c>
      <c r="G97" s="48">
        <v>40.91</v>
      </c>
      <c r="H97" s="49" t="b">
        <v>1</v>
      </c>
      <c r="I97" s="49" t="b">
        <v>0</v>
      </c>
      <c r="J97" s="49" t="b">
        <v>0</v>
      </c>
      <c r="K97" s="49" t="b">
        <v>0</v>
      </c>
      <c r="L97" s="2" t="s">
        <v>15</v>
      </c>
    </row>
    <row r="98" ht="15.75" customHeight="1">
      <c r="A98" s="47">
        <v>46150.51180555556</v>
      </c>
      <c r="B98" s="3" t="s">
        <v>17</v>
      </c>
      <c r="C98" s="3" t="s">
        <v>95</v>
      </c>
      <c r="D98" s="48">
        <v>9.24342815E9</v>
      </c>
      <c r="E98" s="48">
        <v>6.789905638E9</v>
      </c>
      <c r="F98" s="48">
        <v>-12.0</v>
      </c>
      <c r="G98" s="48">
        <v>28.91</v>
      </c>
      <c r="H98" s="49" t="b">
        <v>1</v>
      </c>
      <c r="I98" s="49" t="b">
        <v>0</v>
      </c>
      <c r="J98" s="49" t="b">
        <v>0</v>
      </c>
      <c r="K98" s="49" t="b">
        <v>0</v>
      </c>
      <c r="L98" s="2" t="s">
        <v>16</v>
      </c>
    </row>
    <row r="99" ht="15.75" customHeight="1">
      <c r="A99" s="47">
        <v>46150.61041666667</v>
      </c>
      <c r="B99" s="3" t="s">
        <v>17</v>
      </c>
      <c r="C99" s="3" t="s">
        <v>96</v>
      </c>
      <c r="D99" s="48">
        <v>9.243801008E9</v>
      </c>
      <c r="E99" s="48">
        <v>6.790170798E9</v>
      </c>
      <c r="F99" s="48">
        <v>-2.0</v>
      </c>
      <c r="G99" s="48">
        <v>26.91</v>
      </c>
      <c r="H99" s="49" t="b">
        <v>1</v>
      </c>
      <c r="I99" s="49" t="b">
        <v>0</v>
      </c>
      <c r="J99" s="49" t="b">
        <v>0</v>
      </c>
      <c r="K99" s="49" t="b">
        <v>0</v>
      </c>
      <c r="L99" s="2" t="s">
        <v>16</v>
      </c>
    </row>
    <row r="100" ht="15.75" customHeight="1">
      <c r="A100" s="47">
        <v>46150.95416666667</v>
      </c>
      <c r="B100" s="3" t="s">
        <v>17</v>
      </c>
      <c r="C100" s="3" t="s">
        <v>97</v>
      </c>
      <c r="D100" s="48">
        <v>9.245924268E9</v>
      </c>
      <c r="E100" s="48">
        <v>6.791699034E9</v>
      </c>
      <c r="F100" s="48">
        <v>0.0</v>
      </c>
      <c r="G100" s="48">
        <v>26.91</v>
      </c>
      <c r="H100" s="49" t="b">
        <v>1</v>
      </c>
      <c r="I100" s="49" t="b">
        <v>0</v>
      </c>
      <c r="J100" s="49" t="b">
        <v>0</v>
      </c>
      <c r="K100" s="49" t="b">
        <v>0</v>
      </c>
      <c r="L100" s="2" t="s">
        <v>14</v>
      </c>
    </row>
    <row r="101" ht="15.75" customHeight="1">
      <c r="A101" s="47">
        <v>46150.959027777775</v>
      </c>
      <c r="B101" s="3" t="s">
        <v>17</v>
      </c>
      <c r="C101" s="3" t="s">
        <v>98</v>
      </c>
      <c r="D101" s="48">
        <v>9.245944811E9</v>
      </c>
      <c r="E101" s="48">
        <v>6.791713866E9</v>
      </c>
      <c r="F101" s="48">
        <v>0.0</v>
      </c>
      <c r="G101" s="48">
        <v>26.91</v>
      </c>
      <c r="H101" s="49" t="b">
        <v>1</v>
      </c>
      <c r="I101" s="49" t="b">
        <v>0</v>
      </c>
      <c r="J101" s="49" t="b">
        <v>0</v>
      </c>
      <c r="K101" s="49" t="b">
        <v>0</v>
      </c>
      <c r="L101" s="2" t="s">
        <v>14</v>
      </c>
    </row>
    <row r="102" ht="15.75" customHeight="1">
      <c r="A102" s="47">
        <v>46151.80138888889</v>
      </c>
      <c r="B102" s="3" t="s">
        <v>41</v>
      </c>
      <c r="C102" s="3" t="s">
        <v>97</v>
      </c>
      <c r="D102" s="48">
        <v>9.251503946E9</v>
      </c>
      <c r="E102" s="48">
        <v>6.791699034E9</v>
      </c>
      <c r="F102" s="48">
        <v>8.05</v>
      </c>
      <c r="G102" s="48">
        <v>34.96</v>
      </c>
      <c r="H102" s="49" t="b">
        <v>1</v>
      </c>
      <c r="I102" s="49" t="b">
        <v>0</v>
      </c>
      <c r="J102" s="49" t="b">
        <v>0</v>
      </c>
      <c r="K102" s="49" t="b">
        <v>0</v>
      </c>
      <c r="L102" s="2" t="s">
        <v>14</v>
      </c>
    </row>
    <row r="103" ht="15.75" customHeight="1">
      <c r="A103" s="47">
        <v>46151.92222222222</v>
      </c>
      <c r="B103" s="3" t="s">
        <v>41</v>
      </c>
      <c r="C103" s="3" t="s">
        <v>98</v>
      </c>
      <c r="D103" s="48">
        <v>9.252159317E9</v>
      </c>
      <c r="E103" s="48">
        <v>6.791713866E9</v>
      </c>
      <c r="F103" s="48">
        <v>12.25</v>
      </c>
      <c r="G103" s="48">
        <v>47.21</v>
      </c>
      <c r="H103" s="49" t="b">
        <v>1</v>
      </c>
      <c r="I103" s="49" t="b">
        <v>0</v>
      </c>
      <c r="J103" s="49" t="b">
        <v>0</v>
      </c>
      <c r="K103" s="49" t="b">
        <v>0</v>
      </c>
      <c r="L103" s="2" t="s">
        <v>14</v>
      </c>
    </row>
    <row r="104" ht="15.75" customHeight="1">
      <c r="A104" s="47">
        <v>46155.79791666667</v>
      </c>
      <c r="B104" s="3" t="s">
        <v>17</v>
      </c>
      <c r="C104" s="3" t="s">
        <v>99</v>
      </c>
      <c r="D104" s="48">
        <v>9.259835087E9</v>
      </c>
      <c r="E104" s="48">
        <v>6.801728963E9</v>
      </c>
      <c r="F104" s="48">
        <v>-9.0</v>
      </c>
      <c r="G104" s="48">
        <v>38.21</v>
      </c>
      <c r="H104" s="49" t="b">
        <v>1</v>
      </c>
      <c r="I104" s="49" t="b">
        <v>0</v>
      </c>
      <c r="J104" s="49" t="b">
        <v>0</v>
      </c>
      <c r="K104" s="49" t="b">
        <v>0</v>
      </c>
      <c r="L104" s="2" t="s">
        <v>14</v>
      </c>
    </row>
    <row r="105" ht="15.75" customHeight="1">
      <c r="A105" s="47">
        <v>46156.65972222222</v>
      </c>
      <c r="B105" s="3" t="s">
        <v>17</v>
      </c>
      <c r="C105" s="3" t="s">
        <v>99</v>
      </c>
      <c r="D105" s="48">
        <v>9.261549606E9</v>
      </c>
      <c r="E105" s="48">
        <v>6.802947391E9</v>
      </c>
      <c r="F105" s="48">
        <v>-4.5</v>
      </c>
      <c r="G105" s="48">
        <v>33.71</v>
      </c>
      <c r="H105" s="49" t="b">
        <v>1</v>
      </c>
      <c r="I105" s="49" t="b">
        <v>0</v>
      </c>
      <c r="J105" s="49" t="b">
        <v>0</v>
      </c>
      <c r="K105" s="49" t="b">
        <v>0</v>
      </c>
      <c r="L105" s="2" t="s">
        <v>15</v>
      </c>
    </row>
    <row r="106" ht="15.75" customHeight="1">
      <c r="A106" s="47">
        <v>46156.84166666667</v>
      </c>
      <c r="B106" s="3" t="s">
        <v>17</v>
      </c>
      <c r="C106" s="3" t="s">
        <v>100</v>
      </c>
      <c r="D106" s="48">
        <v>9.262657837E9</v>
      </c>
      <c r="E106" s="48">
        <v>6.803740161E9</v>
      </c>
      <c r="F106" s="48">
        <v>-9.0</v>
      </c>
      <c r="G106" s="48">
        <v>24.71</v>
      </c>
      <c r="H106" s="49" t="b">
        <v>1</v>
      </c>
      <c r="I106" s="49" t="b">
        <v>0</v>
      </c>
      <c r="J106" s="49" t="b">
        <v>0</v>
      </c>
      <c r="K106" s="49" t="b">
        <v>0</v>
      </c>
      <c r="L106" s="2" t="s">
        <v>16</v>
      </c>
    </row>
    <row r="107" ht="15.75" customHeight="1">
      <c r="A107" s="47">
        <v>46156.925</v>
      </c>
      <c r="B107" s="3" t="s">
        <v>41</v>
      </c>
      <c r="C107" s="3" t="s">
        <v>99</v>
      </c>
      <c r="D107" s="48">
        <v>9.262985045E9</v>
      </c>
      <c r="E107" s="48">
        <v>6.801728963E9</v>
      </c>
      <c r="F107" s="48">
        <v>29.7</v>
      </c>
      <c r="G107" s="48">
        <v>54.41</v>
      </c>
      <c r="H107" s="49" t="b">
        <v>1</v>
      </c>
      <c r="I107" s="49" t="b">
        <v>0</v>
      </c>
      <c r="J107" s="49" t="b">
        <v>0</v>
      </c>
      <c r="K107" s="49" t="b">
        <v>0</v>
      </c>
      <c r="L107" s="2" t="s">
        <v>14</v>
      </c>
    </row>
    <row r="108" ht="15.75" customHeight="1">
      <c r="A108" s="47">
        <v>46156.927083333336</v>
      </c>
      <c r="B108" s="3" t="s">
        <v>41</v>
      </c>
      <c r="C108" s="3" t="s">
        <v>99</v>
      </c>
      <c r="D108" s="48">
        <v>9.263004557E9</v>
      </c>
      <c r="E108" s="48">
        <v>6.802947391E9</v>
      </c>
      <c r="F108" s="48">
        <v>10.69</v>
      </c>
      <c r="G108" s="48">
        <v>65.1</v>
      </c>
      <c r="H108" s="49" t="b">
        <v>1</v>
      </c>
      <c r="I108" s="49" t="b">
        <v>0</v>
      </c>
      <c r="J108" s="49" t="b">
        <v>0</v>
      </c>
      <c r="K108" s="49" t="b">
        <v>0</v>
      </c>
      <c r="L108" s="2" t="s">
        <v>15</v>
      </c>
    </row>
    <row r="109" ht="15.75" customHeight="1">
      <c r="A109" s="47">
        <v>46157.95416666667</v>
      </c>
      <c r="B109" s="3" t="s">
        <v>41</v>
      </c>
      <c r="C109" s="3" t="s">
        <v>100</v>
      </c>
      <c r="D109" s="48">
        <v>9.266636573E9</v>
      </c>
      <c r="E109" s="48">
        <v>6.803740161E9</v>
      </c>
      <c r="F109" s="48">
        <v>29.25</v>
      </c>
      <c r="G109" s="48">
        <v>94.35</v>
      </c>
      <c r="H109" s="49" t="b">
        <v>1</v>
      </c>
      <c r="I109" s="49" t="b">
        <v>0</v>
      </c>
      <c r="J109" s="49" t="b">
        <v>0</v>
      </c>
      <c r="K109" s="49" t="b">
        <v>0</v>
      </c>
      <c r="L109" s="2" t="s">
        <v>16</v>
      </c>
    </row>
    <row r="110" ht="15.75" customHeight="1">
      <c r="A110" s="47">
        <v>46158.410416666666</v>
      </c>
      <c r="B110" s="3" t="s">
        <v>17</v>
      </c>
      <c r="C110" s="3" t="s">
        <v>101</v>
      </c>
      <c r="D110" s="48">
        <v>9.267340001E9</v>
      </c>
      <c r="E110" s="48">
        <v>6.807115235E9</v>
      </c>
      <c r="F110" s="48">
        <v>-4.5</v>
      </c>
      <c r="G110" s="48">
        <v>89.85</v>
      </c>
      <c r="H110" s="49" t="b">
        <v>1</v>
      </c>
      <c r="I110" s="49" t="b">
        <v>0</v>
      </c>
      <c r="J110" s="49" t="b">
        <v>0</v>
      </c>
      <c r="K110" s="49" t="b">
        <v>0</v>
      </c>
      <c r="L110" s="2" t="s">
        <v>15</v>
      </c>
    </row>
    <row r="111" ht="15.75" customHeight="1">
      <c r="A111" s="47">
        <v>46158.64791666667</v>
      </c>
      <c r="B111" s="3" t="s">
        <v>41</v>
      </c>
      <c r="C111" s="3" t="s">
        <v>101</v>
      </c>
      <c r="D111" s="48">
        <v>9.270479302E9</v>
      </c>
      <c r="E111" s="48">
        <v>6.807115235E9</v>
      </c>
      <c r="F111" s="48">
        <v>9.63</v>
      </c>
      <c r="G111" s="48">
        <v>99.48</v>
      </c>
      <c r="H111" s="49" t="b">
        <v>1</v>
      </c>
      <c r="I111" s="49" t="b">
        <v>0</v>
      </c>
      <c r="J111" s="49" t="b">
        <v>0</v>
      </c>
      <c r="K111" s="49" t="b">
        <v>0</v>
      </c>
      <c r="L111" s="2" t="s">
        <v>15</v>
      </c>
    </row>
    <row r="112" ht="15.75" customHeight="1">
      <c r="A112" s="47">
        <v>46162.944444444445</v>
      </c>
      <c r="B112" s="3" t="s">
        <v>17</v>
      </c>
      <c r="C112" s="3" t="s">
        <v>102</v>
      </c>
      <c r="D112" s="48">
        <v>9.281211997E9</v>
      </c>
      <c r="E112" s="48">
        <v>6.817182561E9</v>
      </c>
      <c r="F112" s="48">
        <v>-10.0</v>
      </c>
      <c r="G112" s="48">
        <v>89.48</v>
      </c>
      <c r="H112" s="49" t="b">
        <v>1</v>
      </c>
      <c r="I112" s="49" t="b">
        <v>0</v>
      </c>
      <c r="J112" s="49" t="b">
        <v>0</v>
      </c>
      <c r="K112" s="49" t="b">
        <v>0</v>
      </c>
      <c r="L112" s="2" t="s">
        <v>15</v>
      </c>
    </row>
    <row r="113" ht="15.75" customHeight="1">
      <c r="A113" s="47">
        <v>46163.79791666667</v>
      </c>
      <c r="B113" s="3" t="s">
        <v>17</v>
      </c>
      <c r="C113" s="3" t="s">
        <v>103</v>
      </c>
      <c r="D113" s="48">
        <v>9.283356245E9</v>
      </c>
      <c r="E113" s="48">
        <v>6.818656646E9</v>
      </c>
      <c r="F113" s="48">
        <v>-10.0</v>
      </c>
      <c r="G113" s="48">
        <v>79.48</v>
      </c>
      <c r="H113" s="49" t="b">
        <v>1</v>
      </c>
      <c r="I113" s="49" t="b">
        <v>0</v>
      </c>
      <c r="J113" s="49" t="b">
        <v>0</v>
      </c>
      <c r="K113" s="49" t="b">
        <v>0</v>
      </c>
      <c r="L113" s="2" t="s">
        <v>16</v>
      </c>
    </row>
    <row r="114" ht="15.75" customHeight="1">
      <c r="A114" s="47">
        <v>46163.80138888889</v>
      </c>
      <c r="B114" s="3" t="s">
        <v>17</v>
      </c>
      <c r="C114" s="3" t="s">
        <v>104</v>
      </c>
      <c r="D114" s="48">
        <v>9.283387919E9</v>
      </c>
      <c r="E114" s="48">
        <v>6.81867982E9</v>
      </c>
      <c r="F114" s="48">
        <v>-10.0</v>
      </c>
      <c r="G114" s="48">
        <v>69.48</v>
      </c>
      <c r="H114" s="49" t="b">
        <v>1</v>
      </c>
      <c r="I114" s="49" t="b">
        <v>0</v>
      </c>
      <c r="J114" s="49" t="b">
        <v>0</v>
      </c>
      <c r="K114" s="49" t="b">
        <v>0</v>
      </c>
      <c r="L114" s="2" t="s">
        <v>16</v>
      </c>
    </row>
    <row r="115" ht="15.75" customHeight="1">
      <c r="A115" s="47">
        <v>46163.92847222222</v>
      </c>
      <c r="B115" s="3" t="s">
        <v>17</v>
      </c>
      <c r="C115" s="3" t="s">
        <v>105</v>
      </c>
      <c r="D115" s="48">
        <v>9.284015543E9</v>
      </c>
      <c r="E115" s="48">
        <v>6.819106337E9</v>
      </c>
      <c r="F115" s="48">
        <v>-20.0</v>
      </c>
      <c r="G115" s="48">
        <v>49.48</v>
      </c>
      <c r="H115" s="49" t="b">
        <v>1</v>
      </c>
      <c r="I115" s="49" t="b">
        <v>0</v>
      </c>
      <c r="J115" s="49" t="b">
        <v>0</v>
      </c>
      <c r="K115" s="49" t="b">
        <v>0</v>
      </c>
      <c r="L115" s="2" t="s">
        <v>14</v>
      </c>
    </row>
    <row r="116" ht="15.75" customHeight="1">
      <c r="A116" s="47">
        <v>46164.91805555556</v>
      </c>
      <c r="B116" s="3" t="s">
        <v>41</v>
      </c>
      <c r="C116" s="3" t="s">
        <v>105</v>
      </c>
      <c r="D116" s="48">
        <v>9.287409237E9</v>
      </c>
      <c r="E116" s="48">
        <v>6.819106337E9</v>
      </c>
      <c r="F116" s="48">
        <v>50.0</v>
      </c>
      <c r="G116" s="48">
        <v>99.48</v>
      </c>
      <c r="H116" s="49" t="b">
        <v>1</v>
      </c>
      <c r="I116" s="49" t="b">
        <v>0</v>
      </c>
      <c r="J116" s="49" t="b">
        <v>0</v>
      </c>
      <c r="K116" s="49" t="b">
        <v>0</v>
      </c>
      <c r="L116" s="2" t="s">
        <v>14</v>
      </c>
    </row>
    <row r="117" ht="15.75" customHeight="1">
      <c r="A117" s="47">
        <v>46164.95625</v>
      </c>
      <c r="B117" s="3" t="s">
        <v>41</v>
      </c>
      <c r="C117" s="3" t="s">
        <v>103</v>
      </c>
      <c r="D117" s="48">
        <v>9.287580489E9</v>
      </c>
      <c r="E117" s="48">
        <v>6.818656646E9</v>
      </c>
      <c r="F117" s="48">
        <v>25.5</v>
      </c>
      <c r="G117" s="48">
        <v>124.98</v>
      </c>
      <c r="H117" s="49" t="b">
        <v>1</v>
      </c>
      <c r="I117" s="49" t="b">
        <v>0</v>
      </c>
      <c r="J117" s="49" t="b">
        <v>0</v>
      </c>
      <c r="K117" s="49" t="b">
        <v>0</v>
      </c>
      <c r="L117" s="2" t="s">
        <v>16</v>
      </c>
    </row>
    <row r="118" ht="15.75" customHeight="1">
      <c r="A118" s="47">
        <v>46165.51597222222</v>
      </c>
      <c r="B118" s="3" t="s">
        <v>17</v>
      </c>
      <c r="C118" s="3" t="s">
        <v>106</v>
      </c>
      <c r="D118" s="48">
        <v>9.289109776E9</v>
      </c>
      <c r="E118" s="48">
        <v>6.822797921E9</v>
      </c>
      <c r="F118" s="48">
        <v>-10.0</v>
      </c>
      <c r="G118" s="48">
        <v>114.98</v>
      </c>
      <c r="H118" s="49" t="b">
        <v>1</v>
      </c>
      <c r="I118" s="49" t="b">
        <v>0</v>
      </c>
      <c r="J118" s="49" t="b">
        <v>0</v>
      </c>
      <c r="K118" s="49" t="b">
        <v>0</v>
      </c>
      <c r="L118" s="2" t="s">
        <v>15</v>
      </c>
    </row>
    <row r="119" ht="15.75" customHeight="1">
      <c r="A119" s="47">
        <v>46167.777083333334</v>
      </c>
      <c r="B119" s="3" t="s">
        <v>17</v>
      </c>
      <c r="C119" s="3" t="s">
        <v>107</v>
      </c>
      <c r="D119" s="48">
        <v>9.297876147E9</v>
      </c>
      <c r="E119" s="48">
        <v>6.829151533E9</v>
      </c>
      <c r="F119" s="48">
        <v>-3.0</v>
      </c>
      <c r="G119" s="48">
        <v>111.98</v>
      </c>
      <c r="H119" s="49" t="b">
        <v>0</v>
      </c>
      <c r="I119" s="49" t="b">
        <v>1</v>
      </c>
      <c r="J119" s="49" t="b">
        <v>0</v>
      </c>
      <c r="K119" s="49" t="b">
        <v>0</v>
      </c>
      <c r="L119" s="2" t="s">
        <v>14</v>
      </c>
    </row>
    <row r="120" ht="15.75" customHeight="1">
      <c r="A120" s="47">
        <v>46168.73333333333</v>
      </c>
      <c r="B120" s="3" t="s">
        <v>17</v>
      </c>
      <c r="C120" s="3" t="s">
        <v>108</v>
      </c>
      <c r="D120" s="48">
        <v>9.299155335E9</v>
      </c>
      <c r="E120" s="48">
        <v>6.830066428E9</v>
      </c>
      <c r="F120" s="48">
        <v>-10.0</v>
      </c>
      <c r="G120" s="48">
        <v>101.98</v>
      </c>
      <c r="H120" s="49" t="b">
        <v>1</v>
      </c>
      <c r="I120" s="49" t="b">
        <v>0</v>
      </c>
      <c r="J120" s="49" t="b">
        <v>0</v>
      </c>
      <c r="K120" s="49" t="b">
        <v>0</v>
      </c>
      <c r="L120" s="2" t="s">
        <v>14</v>
      </c>
    </row>
    <row r="121" ht="15.75" customHeight="1">
      <c r="A121" s="47">
        <v>46168.743055555555</v>
      </c>
      <c r="B121" s="3" t="s">
        <v>17</v>
      </c>
      <c r="C121" s="3" t="s">
        <v>109</v>
      </c>
      <c r="D121" s="48">
        <v>9.299178502E9</v>
      </c>
      <c r="E121" s="48">
        <v>6.830083531E9</v>
      </c>
      <c r="F121" s="48">
        <v>-10.0</v>
      </c>
      <c r="G121" s="48">
        <v>91.98</v>
      </c>
      <c r="H121" s="49" t="b">
        <v>1</v>
      </c>
      <c r="I121" s="49" t="b">
        <v>0</v>
      </c>
      <c r="J121" s="49" t="b">
        <v>0</v>
      </c>
      <c r="K121" s="49" t="b">
        <v>0</v>
      </c>
      <c r="L121" s="2" t="s">
        <v>14</v>
      </c>
    </row>
    <row r="122" ht="15.75" customHeight="1">
      <c r="A122" s="47">
        <v>46170.67986111111</v>
      </c>
      <c r="B122" s="3" t="s">
        <v>17</v>
      </c>
      <c r="C122" s="3" t="s">
        <v>110</v>
      </c>
      <c r="D122" s="48">
        <v>9.304226171E9</v>
      </c>
      <c r="E122" s="48">
        <v>6.833663241E9</v>
      </c>
      <c r="F122" s="48">
        <v>-23.0</v>
      </c>
      <c r="G122" s="48">
        <v>68.98</v>
      </c>
      <c r="H122" s="49" t="b">
        <v>1</v>
      </c>
      <c r="I122" s="49" t="b">
        <v>0</v>
      </c>
      <c r="J122" s="49" t="b">
        <v>0</v>
      </c>
      <c r="K122" s="49" t="b">
        <v>0</v>
      </c>
      <c r="L122" s="2" t="s">
        <v>16</v>
      </c>
    </row>
    <row r="123" ht="15.75" customHeight="1">
      <c r="A123" s="47">
        <v>46170.725</v>
      </c>
      <c r="B123" s="3" t="s">
        <v>17</v>
      </c>
      <c r="C123" s="3" t="s">
        <v>111</v>
      </c>
      <c r="D123" s="48">
        <v>9.30439022E9</v>
      </c>
      <c r="E123" s="48">
        <v>6.833783595E9</v>
      </c>
      <c r="F123" s="48">
        <v>-10.0</v>
      </c>
      <c r="G123" s="48">
        <v>58.98</v>
      </c>
      <c r="H123" s="49" t="b">
        <v>1</v>
      </c>
      <c r="I123" s="49" t="b">
        <v>0</v>
      </c>
      <c r="J123" s="49" t="b">
        <v>0</v>
      </c>
      <c r="K123" s="49" t="b">
        <v>0</v>
      </c>
      <c r="L123" s="2" t="s">
        <v>15</v>
      </c>
    </row>
    <row r="124" ht="15.75" customHeight="1">
      <c r="A124" s="47">
        <v>46170.924305555556</v>
      </c>
      <c r="B124" s="3" t="s">
        <v>41</v>
      </c>
      <c r="C124" s="3" t="s">
        <v>111</v>
      </c>
      <c r="D124" s="48">
        <v>9.30541757E9</v>
      </c>
      <c r="E124" s="48">
        <v>6.833783595E9</v>
      </c>
      <c r="F124" s="48">
        <v>23.5</v>
      </c>
      <c r="G124" s="48">
        <v>82.48</v>
      </c>
      <c r="H124" s="49" t="b">
        <v>1</v>
      </c>
      <c r="I124" s="49" t="b">
        <v>0</v>
      </c>
      <c r="J124" s="49" t="b">
        <v>0</v>
      </c>
      <c r="K124" s="49" t="b">
        <v>0</v>
      </c>
      <c r="L124" s="2" t="s">
        <v>15</v>
      </c>
    </row>
    <row r="125" ht="15.75" customHeight="1">
      <c r="A125" s="47">
        <v>46171.675</v>
      </c>
      <c r="B125" s="3" t="s">
        <v>17</v>
      </c>
      <c r="C125" s="3" t="s">
        <v>110</v>
      </c>
      <c r="D125" s="48">
        <v>9.306783184E9</v>
      </c>
      <c r="E125" s="48">
        <v>6.835443065E9</v>
      </c>
      <c r="F125" s="48">
        <v>-3.0</v>
      </c>
      <c r="G125" s="48">
        <v>79.48</v>
      </c>
      <c r="H125" s="49" t="b">
        <v>1</v>
      </c>
      <c r="I125" s="49" t="b">
        <v>0</v>
      </c>
      <c r="J125" s="49" t="b">
        <v>0</v>
      </c>
      <c r="K125" s="49" t="b">
        <v>0</v>
      </c>
      <c r="L125" s="2" t="s">
        <v>15</v>
      </c>
    </row>
    <row r="126" ht="15.75" customHeight="1">
      <c r="A126" s="47">
        <v>46171.93819444445</v>
      </c>
      <c r="B126" s="3" t="s">
        <v>41</v>
      </c>
      <c r="C126" s="3" t="s">
        <v>110</v>
      </c>
      <c r="D126" s="48">
        <v>9.308404139E9</v>
      </c>
      <c r="E126" s="48">
        <v>6.833663241E9</v>
      </c>
      <c r="F126" s="48">
        <v>71.3</v>
      </c>
      <c r="G126" s="48">
        <v>150.78</v>
      </c>
      <c r="H126" s="49" t="b">
        <v>1</v>
      </c>
      <c r="I126" s="49" t="b">
        <v>0</v>
      </c>
      <c r="J126" s="49" t="b">
        <v>0</v>
      </c>
      <c r="K126" s="49" t="b">
        <v>0</v>
      </c>
      <c r="L126" s="2" t="s">
        <v>16</v>
      </c>
    </row>
    <row r="127" ht="15.75" customHeight="1">
      <c r="A127" s="47">
        <v>46173.73333333333</v>
      </c>
      <c r="B127" s="3" t="s">
        <v>17</v>
      </c>
      <c r="C127" s="3" t="s">
        <v>112</v>
      </c>
      <c r="D127" s="48">
        <v>9.317139041E9</v>
      </c>
      <c r="E127" s="48">
        <v>6.843059631E9</v>
      </c>
      <c r="F127" s="48">
        <v>-10.0</v>
      </c>
      <c r="G127" s="48">
        <v>140.78</v>
      </c>
      <c r="H127" s="49" t="b">
        <v>1</v>
      </c>
      <c r="I127" s="49" t="b">
        <v>0</v>
      </c>
      <c r="J127" s="49" t="b">
        <v>0</v>
      </c>
      <c r="K127" s="49" t="b">
        <v>0</v>
      </c>
      <c r="L127" s="2" t="s">
        <v>15</v>
      </c>
    </row>
    <row r="128" ht="15.75" customHeight="1">
      <c r="A128" s="47">
        <v>46173.73819444444</v>
      </c>
      <c r="B128" s="3" t="s">
        <v>41</v>
      </c>
      <c r="C128" s="3" t="s">
        <v>109</v>
      </c>
      <c r="D128" s="48">
        <v>9.317167251E9</v>
      </c>
      <c r="E128" s="48">
        <v>6.830083531E9</v>
      </c>
      <c r="F128" s="48">
        <v>22.5</v>
      </c>
      <c r="G128" s="48">
        <v>163.28</v>
      </c>
      <c r="H128" s="49" t="b">
        <v>1</v>
      </c>
      <c r="I128" s="49" t="b">
        <v>0</v>
      </c>
      <c r="J128" s="49" t="b">
        <v>0</v>
      </c>
      <c r="K128" s="49" t="b">
        <v>0</v>
      </c>
      <c r="L128" s="2" t="s">
        <v>14</v>
      </c>
    </row>
    <row r="129" ht="15.75" customHeight="1">
      <c r="A129" s="47">
        <v>46173.82083333333</v>
      </c>
      <c r="B129" s="3" t="s">
        <v>37</v>
      </c>
      <c r="C129" s="3" t="s">
        <v>112</v>
      </c>
      <c r="D129" s="48">
        <v>9.317662636E9</v>
      </c>
      <c r="E129" s="48">
        <v>6.843059631E9</v>
      </c>
      <c r="F129" s="48">
        <v>10.0</v>
      </c>
      <c r="G129" s="48">
        <v>173.28</v>
      </c>
      <c r="H129" s="49" t="b">
        <v>1</v>
      </c>
      <c r="I129" s="49" t="b">
        <v>0</v>
      </c>
      <c r="J129" s="49" t="b">
        <v>0</v>
      </c>
      <c r="K129" s="49" t="b">
        <v>0</v>
      </c>
      <c r="L129" s="2" t="s">
        <v>15</v>
      </c>
    </row>
    <row r="130" ht="15.75" customHeight="1">
      <c r="A130" s="47">
        <v>46175.87430555555</v>
      </c>
      <c r="B130" s="3" t="s">
        <v>17</v>
      </c>
      <c r="C130" s="3" t="s">
        <v>113</v>
      </c>
      <c r="D130" s="48">
        <v>9.320540124E9</v>
      </c>
      <c r="E130" s="48">
        <v>6.84542334E9</v>
      </c>
      <c r="F130" s="48">
        <v>-4.0</v>
      </c>
      <c r="G130" s="48">
        <v>169.28</v>
      </c>
      <c r="H130" s="49" t="b">
        <v>0</v>
      </c>
      <c r="I130" s="49" t="b">
        <v>1</v>
      </c>
      <c r="J130" s="49" t="b">
        <v>0</v>
      </c>
      <c r="K130" s="49" t="b">
        <v>0</v>
      </c>
      <c r="L130" s="2" t="s">
        <v>14</v>
      </c>
    </row>
    <row r="131" ht="15.75" customHeight="1">
      <c r="A131" s="47">
        <v>46175.8875</v>
      </c>
      <c r="B131" s="3" t="s">
        <v>17</v>
      </c>
      <c r="C131" s="3" t="s">
        <v>114</v>
      </c>
      <c r="D131" s="48">
        <v>9.320573926E9</v>
      </c>
      <c r="E131" s="48">
        <v>6.845447846E9</v>
      </c>
      <c r="F131" s="48">
        <v>-30.0</v>
      </c>
      <c r="G131" s="48">
        <v>139.28</v>
      </c>
      <c r="H131" s="49" t="b">
        <v>1</v>
      </c>
      <c r="I131" s="49" t="b">
        <v>0</v>
      </c>
      <c r="J131" s="49" t="b">
        <v>0</v>
      </c>
      <c r="K131" s="49" t="b">
        <v>0</v>
      </c>
      <c r="L131" s="2" t="s">
        <v>14</v>
      </c>
    </row>
    <row r="132" ht="15.75" customHeight="1">
      <c r="A132" s="47">
        <v>46176.80972222222</v>
      </c>
      <c r="B132" s="3" t="s">
        <v>17</v>
      </c>
      <c r="C132" s="3" t="s">
        <v>115</v>
      </c>
      <c r="D132" s="48">
        <v>9.322357315E9</v>
      </c>
      <c r="E132" s="48">
        <v>6.84674245E9</v>
      </c>
      <c r="F132" s="48">
        <v>-17.0</v>
      </c>
      <c r="G132" s="48">
        <v>122.28</v>
      </c>
      <c r="H132" s="49" t="b">
        <v>1</v>
      </c>
      <c r="I132" s="49" t="b">
        <v>0</v>
      </c>
      <c r="J132" s="49" t="b">
        <v>0</v>
      </c>
      <c r="K132" s="49" t="b">
        <v>0</v>
      </c>
      <c r="L132" s="2" t="s">
        <v>16</v>
      </c>
    </row>
    <row r="133" ht="15.75" customHeight="1">
      <c r="A133" s="47">
        <v>46177.94930555556</v>
      </c>
      <c r="B133" s="3" t="s">
        <v>41</v>
      </c>
      <c r="C133" s="3" t="s">
        <v>115</v>
      </c>
      <c r="D133" s="48">
        <v>9.325762894E9</v>
      </c>
      <c r="E133" s="48">
        <v>6.84674245E9</v>
      </c>
      <c r="F133" s="48">
        <v>58.65</v>
      </c>
      <c r="G133" s="48">
        <v>180.93</v>
      </c>
      <c r="H133" s="49" t="b">
        <v>1</v>
      </c>
      <c r="I133" s="49" t="b">
        <v>0</v>
      </c>
      <c r="J133" s="49" t="b">
        <v>0</v>
      </c>
      <c r="K133" s="49" t="b">
        <v>0</v>
      </c>
      <c r="L133" s="2" t="s">
        <v>16</v>
      </c>
    </row>
    <row r="134" ht="15.75" customHeight="1">
      <c r="A134" s="47">
        <v>46178.925</v>
      </c>
      <c r="B134" s="3" t="s">
        <v>41</v>
      </c>
      <c r="C134" s="3" t="s">
        <v>114</v>
      </c>
      <c r="D134" s="48">
        <v>9.328813268E9</v>
      </c>
      <c r="E134" s="48">
        <v>6.845447846E9</v>
      </c>
      <c r="F134" s="48">
        <v>90.0</v>
      </c>
      <c r="G134" s="48">
        <v>270.93</v>
      </c>
      <c r="H134" s="49" t="b">
        <v>1</v>
      </c>
      <c r="I134" s="49" t="b">
        <v>0</v>
      </c>
      <c r="J134" s="49" t="b">
        <v>0</v>
      </c>
      <c r="K134" s="49" t="b">
        <v>0</v>
      </c>
      <c r="L134" s="2" t="s">
        <v>14</v>
      </c>
    </row>
    <row r="135" ht="15.75" customHeight="1">
      <c r="A135" s="47">
        <v>46178.958333333336</v>
      </c>
      <c r="B135" s="3" t="s">
        <v>17</v>
      </c>
      <c r="C135" s="3" t="s">
        <v>117</v>
      </c>
      <c r="D135" s="48">
        <v>9.328979675E9</v>
      </c>
      <c r="E135" s="48">
        <v>6.851501258E9</v>
      </c>
      <c r="F135" s="48">
        <v>-17.0</v>
      </c>
      <c r="G135" s="48">
        <v>253.93</v>
      </c>
      <c r="H135" s="49" t="b">
        <v>1</v>
      </c>
      <c r="I135" s="49" t="b">
        <v>0</v>
      </c>
      <c r="J135" s="49" t="b">
        <v>0</v>
      </c>
      <c r="K135" s="49" t="b">
        <v>0</v>
      </c>
      <c r="L135" s="2" t="s">
        <v>16</v>
      </c>
    </row>
    <row r="136" ht="15.75" customHeight="1">
      <c r="A136" s="47">
        <v>46179.31805555556</v>
      </c>
      <c r="B136" s="3" t="s">
        <v>17</v>
      </c>
      <c r="C136" s="3" t="s">
        <v>118</v>
      </c>
      <c r="D136" s="48">
        <v>9.329353276E9</v>
      </c>
      <c r="E136" s="48">
        <v>6.851781628E9</v>
      </c>
      <c r="F136" s="48">
        <v>-17.0</v>
      </c>
      <c r="G136" s="48">
        <v>236.93</v>
      </c>
      <c r="H136" s="49" t="b">
        <v>1</v>
      </c>
      <c r="I136" s="49" t="b">
        <v>0</v>
      </c>
      <c r="J136" s="49" t="b">
        <v>0</v>
      </c>
      <c r="K136" s="49" t="b">
        <v>0</v>
      </c>
      <c r="L136" s="2" t="s">
        <v>15</v>
      </c>
    </row>
    <row r="137" ht="15.75" customHeight="1">
      <c r="A137" s="47">
        <v>46179.683333333334</v>
      </c>
      <c r="B137" s="3" t="s">
        <v>41</v>
      </c>
      <c r="C137" s="3" t="s">
        <v>118</v>
      </c>
      <c r="D137" s="48">
        <v>9.333548648E9</v>
      </c>
      <c r="E137" s="48">
        <v>6.851781628E9</v>
      </c>
      <c r="F137" s="48">
        <v>56.1</v>
      </c>
      <c r="G137" s="48">
        <v>293.03</v>
      </c>
      <c r="H137" s="49" t="b">
        <v>1</v>
      </c>
      <c r="I137" s="49" t="b">
        <v>0</v>
      </c>
      <c r="J137" s="49" t="b">
        <v>0</v>
      </c>
      <c r="K137" s="49" t="b">
        <v>0</v>
      </c>
      <c r="L137" s="2" t="s">
        <v>15</v>
      </c>
    </row>
    <row r="138" ht="15.75" customHeight="1">
      <c r="A138" s="47">
        <v>46180.44930555556</v>
      </c>
      <c r="B138" s="3" t="s">
        <v>17</v>
      </c>
      <c r="C138" s="3" t="s">
        <v>119</v>
      </c>
      <c r="D138" s="48">
        <v>9.336011302E9</v>
      </c>
      <c r="E138" s="48">
        <v>6.856763765E9</v>
      </c>
      <c r="F138" s="48">
        <v>-17.0</v>
      </c>
      <c r="G138" s="48">
        <v>276.03</v>
      </c>
      <c r="H138" s="49" t="b">
        <v>1</v>
      </c>
      <c r="I138" s="49" t="b">
        <v>0</v>
      </c>
      <c r="J138" s="49" t="b">
        <v>0</v>
      </c>
      <c r="K138" s="49" t="b">
        <v>0</v>
      </c>
      <c r="L138" s="2" t="s">
        <v>15</v>
      </c>
    </row>
    <row r="139" ht="15.75" customHeight="1">
      <c r="A139" s="47">
        <v>46180.745833333334</v>
      </c>
      <c r="B139" s="3" t="s">
        <v>41</v>
      </c>
      <c r="C139" s="3" t="s">
        <v>119</v>
      </c>
      <c r="D139" s="48">
        <v>9.337949588E9</v>
      </c>
      <c r="E139" s="48">
        <v>6.856763765E9</v>
      </c>
      <c r="F139" s="48">
        <v>56.1</v>
      </c>
      <c r="G139" s="48">
        <v>332.13</v>
      </c>
      <c r="H139" s="49" t="b">
        <v>1</v>
      </c>
      <c r="I139" s="49" t="b">
        <v>0</v>
      </c>
      <c r="J139" s="49" t="b">
        <v>0</v>
      </c>
      <c r="K139" s="49" t="b">
        <v>0</v>
      </c>
      <c r="L139" s="2" t="s">
        <v>15</v>
      </c>
    </row>
    <row r="140" ht="15.75" customHeight="1">
      <c r="A140" s="47">
        <v>46182.430555555555</v>
      </c>
      <c r="B140" s="3" t="s">
        <v>17</v>
      </c>
      <c r="C140" s="3" t="s">
        <v>113</v>
      </c>
      <c r="D140" s="48">
        <v>9.341493523E9</v>
      </c>
      <c r="E140" s="48">
        <v>6.860619298E9</v>
      </c>
      <c r="F140" s="48">
        <v>-4.0</v>
      </c>
      <c r="G140" s="48">
        <v>328.13</v>
      </c>
      <c r="H140" s="49" t="b">
        <v>0</v>
      </c>
      <c r="I140" s="49" t="b">
        <v>1</v>
      </c>
      <c r="J140" s="49" t="b">
        <v>0</v>
      </c>
      <c r="K140" s="49" t="b">
        <v>0</v>
      </c>
      <c r="L140" s="2" t="s">
        <v>14</v>
      </c>
    </row>
    <row r="141" ht="15.75" customHeight="1">
      <c r="A141" s="47">
        <v>46182.70694444444</v>
      </c>
      <c r="B141" s="3" t="s">
        <v>17</v>
      </c>
      <c r="C141" s="3" t="s">
        <v>121</v>
      </c>
      <c r="D141" s="48">
        <v>9.342161275E9</v>
      </c>
      <c r="E141" s="48">
        <v>6.861079629E9</v>
      </c>
      <c r="F141" s="48">
        <v>-38.0</v>
      </c>
      <c r="G141" s="48">
        <v>290.13</v>
      </c>
      <c r="H141" s="49" t="b">
        <v>1</v>
      </c>
      <c r="I141" s="49" t="b">
        <v>0</v>
      </c>
      <c r="J141" s="49" t="b">
        <v>0</v>
      </c>
      <c r="K141" s="49" t="b">
        <v>0</v>
      </c>
      <c r="L141" s="2" t="s">
        <v>14</v>
      </c>
    </row>
    <row r="142" ht="15.75" customHeight="1">
      <c r="A142" s="47">
        <v>46183.8875</v>
      </c>
      <c r="B142" s="3" t="s">
        <v>17</v>
      </c>
      <c r="C142" s="3" t="s">
        <v>122</v>
      </c>
      <c r="D142" s="48">
        <v>9.34445428E9</v>
      </c>
      <c r="E142" s="48">
        <v>6.862756535E9</v>
      </c>
      <c r="F142" s="48">
        <v>-25.0</v>
      </c>
      <c r="G142" s="48">
        <v>265.13</v>
      </c>
      <c r="H142" s="49" t="b">
        <v>1</v>
      </c>
      <c r="I142" s="49" t="b">
        <v>0</v>
      </c>
      <c r="J142" s="49" t="b">
        <v>0</v>
      </c>
      <c r="K142" s="49" t="b">
        <v>0</v>
      </c>
      <c r="L142" s="2" t="s">
        <v>16</v>
      </c>
    </row>
    <row r="143" ht="15.75" customHeight="1">
      <c r="A143" s="47">
        <v>46184.615277777775</v>
      </c>
      <c r="B143" s="3" t="s">
        <v>17</v>
      </c>
      <c r="C143" s="3" t="s">
        <v>123</v>
      </c>
      <c r="D143" s="48">
        <v>9.34570819E9</v>
      </c>
      <c r="E143" s="48">
        <v>6.863649248E9</v>
      </c>
      <c r="F143" s="48">
        <v>-24.0</v>
      </c>
      <c r="G143" s="48">
        <v>241.13</v>
      </c>
      <c r="H143" s="49" t="b">
        <v>1</v>
      </c>
      <c r="I143" s="49" t="b">
        <v>0</v>
      </c>
      <c r="J143" s="49" t="b">
        <v>0</v>
      </c>
      <c r="K143" s="49" t="b">
        <v>0</v>
      </c>
      <c r="L143" s="2" t="s">
        <v>14</v>
      </c>
    </row>
    <row r="144" ht="15.75" customHeight="1">
      <c r="A144" s="47">
        <v>46185.94583333333</v>
      </c>
      <c r="B144" s="3" t="s">
        <v>17</v>
      </c>
      <c r="C144" s="3" t="s">
        <v>124</v>
      </c>
      <c r="D144" s="48">
        <v>9.350892247E9</v>
      </c>
      <c r="E144" s="48">
        <v>6.867323414E9</v>
      </c>
      <c r="F144" s="48">
        <v>0.0</v>
      </c>
      <c r="G144" s="48">
        <v>241.13</v>
      </c>
      <c r="H144" s="49" t="b">
        <v>1</v>
      </c>
      <c r="I144" s="49" t="b">
        <v>0</v>
      </c>
      <c r="J144" s="49" t="b">
        <v>0</v>
      </c>
      <c r="K144" s="49" t="b">
        <v>0</v>
      </c>
      <c r="L144" s="2" t="s">
        <v>16</v>
      </c>
    </row>
    <row r="145" ht="15.75" customHeight="1">
      <c r="A145" s="47">
        <v>46186.376388888886</v>
      </c>
      <c r="B145" s="3" t="s">
        <v>17</v>
      </c>
      <c r="C145" s="3" t="s">
        <v>125</v>
      </c>
      <c r="D145" s="48">
        <v>9.351509904E9</v>
      </c>
      <c r="E145" s="48">
        <v>6.867781577E9</v>
      </c>
      <c r="F145" s="48">
        <v>-33.0</v>
      </c>
      <c r="G145" s="48">
        <v>208.13</v>
      </c>
      <c r="H145" s="49" t="b">
        <v>1</v>
      </c>
      <c r="I145" s="49" t="b">
        <v>0</v>
      </c>
      <c r="J145" s="49" t="b">
        <v>0</v>
      </c>
      <c r="K145" s="49" t="b">
        <v>0</v>
      </c>
      <c r="L145" s="2" t="s">
        <v>15</v>
      </c>
    </row>
    <row r="146" ht="15.75" customHeight="1">
      <c r="A146" s="47">
        <v>46186.45763888889</v>
      </c>
      <c r="B146" s="3" t="s">
        <v>35</v>
      </c>
      <c r="C146" s="3" t="s">
        <v>125</v>
      </c>
      <c r="D146" s="48">
        <v>9.351957529E9</v>
      </c>
      <c r="E146" s="48">
        <v>6.867781577E9</v>
      </c>
      <c r="F146" s="48">
        <v>31.35</v>
      </c>
      <c r="G146" s="48">
        <v>239.48</v>
      </c>
      <c r="H146" s="49" t="b">
        <v>1</v>
      </c>
      <c r="I146" s="49" t="b">
        <v>0</v>
      </c>
      <c r="J146" s="49" t="b">
        <v>0</v>
      </c>
      <c r="K146" s="49" t="b">
        <v>0</v>
      </c>
      <c r="L146" s="2" t="s">
        <v>15</v>
      </c>
    </row>
    <row r="147" ht="15.75" customHeight="1">
      <c r="A147" s="47">
        <v>46186.48402777778</v>
      </c>
      <c r="B147" s="3" t="s">
        <v>17</v>
      </c>
      <c r="C147" s="3" t="s">
        <v>125</v>
      </c>
      <c r="D147" s="48">
        <v>9.35215551E9</v>
      </c>
      <c r="E147" s="48">
        <v>6.868307233E9</v>
      </c>
      <c r="F147" s="48">
        <v>-31.35</v>
      </c>
      <c r="G147" s="48">
        <v>208.13</v>
      </c>
      <c r="H147" s="49" t="b">
        <v>1</v>
      </c>
      <c r="I147" s="49" t="b">
        <v>0</v>
      </c>
      <c r="J147" s="49" t="b">
        <v>0</v>
      </c>
      <c r="K147" s="49" t="b">
        <v>0</v>
      </c>
      <c r="L147" s="2" t="s">
        <v>15</v>
      </c>
    </row>
    <row r="148" ht="15.75" customHeight="1">
      <c r="A148" s="47">
        <v>46186.66180555556</v>
      </c>
      <c r="B148" s="3" t="s">
        <v>17</v>
      </c>
      <c r="C148" s="3" t="s">
        <v>126</v>
      </c>
      <c r="D148" s="48">
        <v>9.355179026E9</v>
      </c>
      <c r="E148" s="48">
        <v>6.870526943E9</v>
      </c>
      <c r="F148" s="48">
        <v>-33.0</v>
      </c>
      <c r="G148" s="48">
        <v>175.13</v>
      </c>
      <c r="H148" s="49" t="b">
        <v>1</v>
      </c>
      <c r="I148" s="49" t="b">
        <v>0</v>
      </c>
      <c r="J148" s="49" t="b">
        <v>0</v>
      </c>
      <c r="K148" s="49" t="b">
        <v>0</v>
      </c>
      <c r="L148" s="2" t="s">
        <v>15</v>
      </c>
    </row>
    <row r="149" ht="15.75" customHeight="1">
      <c r="A149" s="47">
        <v>46186.74166666667</v>
      </c>
      <c r="B149" s="3" t="s">
        <v>17</v>
      </c>
      <c r="C149" s="3" t="s">
        <v>126</v>
      </c>
      <c r="D149" s="48">
        <v>9.356332767E9</v>
      </c>
      <c r="E149" s="48">
        <v>6.871375002E9</v>
      </c>
      <c r="F149" s="48">
        <v>-20.0</v>
      </c>
      <c r="G149" s="48">
        <v>155.13</v>
      </c>
      <c r="H149" s="49" t="b">
        <v>1</v>
      </c>
      <c r="I149" s="49" t="b">
        <v>0</v>
      </c>
      <c r="J149" s="49" t="b">
        <v>0</v>
      </c>
      <c r="K149" s="49" t="b">
        <v>0</v>
      </c>
      <c r="L149" s="2" t="s">
        <v>16</v>
      </c>
    </row>
    <row r="150" ht="15.75" customHeight="1">
      <c r="A150" s="47">
        <v>46186.782638888886</v>
      </c>
      <c r="B150" s="3" t="s">
        <v>41</v>
      </c>
      <c r="C150" s="3" t="s">
        <v>124</v>
      </c>
      <c r="D150" s="48">
        <v>9.356607893E9</v>
      </c>
      <c r="E150" s="48">
        <v>6.867323414E9</v>
      </c>
      <c r="F150" s="48">
        <v>55.0</v>
      </c>
      <c r="G150" s="48">
        <v>210.13</v>
      </c>
      <c r="H150" s="49" t="b">
        <v>1</v>
      </c>
      <c r="I150" s="49" t="b">
        <v>0</v>
      </c>
      <c r="J150" s="49" t="b">
        <v>0</v>
      </c>
      <c r="K150" s="49" t="b">
        <v>0</v>
      </c>
      <c r="L150" s="2" t="s">
        <v>16</v>
      </c>
    </row>
    <row r="151" ht="15.75" customHeight="1">
      <c r="A151" s="47">
        <v>46186.92986111111</v>
      </c>
      <c r="B151" s="3" t="s">
        <v>17</v>
      </c>
      <c r="C151" s="3" t="s">
        <v>127</v>
      </c>
      <c r="D151" s="48">
        <v>9.357567969E9</v>
      </c>
      <c r="E151" s="48">
        <v>6.872218644E9</v>
      </c>
      <c r="F151" s="48">
        <v>-21.0</v>
      </c>
      <c r="G151" s="48">
        <v>189.13</v>
      </c>
      <c r="H151" s="49" t="b">
        <v>1</v>
      </c>
      <c r="I151" s="49" t="b">
        <v>0</v>
      </c>
      <c r="J151" s="49" t="b">
        <v>0</v>
      </c>
      <c r="K151" s="49" t="b">
        <v>0</v>
      </c>
      <c r="L151" s="2" t="s">
        <v>16</v>
      </c>
    </row>
    <row r="152" ht="15.75" customHeight="1">
      <c r="A152" s="47">
        <v>46186.9375</v>
      </c>
      <c r="B152" s="3" t="s">
        <v>41</v>
      </c>
      <c r="C152" s="3" t="s">
        <v>126</v>
      </c>
      <c r="D152" s="48">
        <v>9.357603542E9</v>
      </c>
      <c r="E152" s="48">
        <v>6.870526943E9</v>
      </c>
      <c r="F152" s="48">
        <v>99.0</v>
      </c>
      <c r="G152" s="48">
        <v>288.13</v>
      </c>
      <c r="H152" s="49" t="b">
        <v>1</v>
      </c>
      <c r="I152" s="49" t="b">
        <v>0</v>
      </c>
      <c r="J152" s="49" t="b">
        <v>0</v>
      </c>
      <c r="K152" s="49" t="b">
        <v>0</v>
      </c>
      <c r="L152" s="2" t="s">
        <v>15</v>
      </c>
    </row>
    <row r="153" ht="15.75" customHeight="1">
      <c r="A153" s="47">
        <v>46188.790972222225</v>
      </c>
      <c r="B153" s="3" t="s">
        <v>17</v>
      </c>
      <c r="C153" s="3" t="s">
        <v>128</v>
      </c>
      <c r="D153" s="48">
        <v>9.362963365E9</v>
      </c>
      <c r="E153" s="48">
        <v>6.875999587E9</v>
      </c>
      <c r="F153" s="48">
        <v>-3.0</v>
      </c>
      <c r="G153" s="48">
        <v>285.13</v>
      </c>
      <c r="H153" s="49" t="b">
        <v>0</v>
      </c>
      <c r="I153" s="49" t="b">
        <v>1</v>
      </c>
      <c r="J153" s="49" t="b">
        <v>0</v>
      </c>
      <c r="K153" s="49" t="b">
        <v>0</v>
      </c>
      <c r="L153" s="2" t="s">
        <v>14</v>
      </c>
    </row>
    <row r="154" ht="15.75" customHeight="1">
      <c r="A154" s="47">
        <v>46189.722916666666</v>
      </c>
      <c r="B154" s="3" t="s">
        <v>17</v>
      </c>
      <c r="C154" s="3" t="s">
        <v>129</v>
      </c>
      <c r="D154" s="48">
        <v>9.364563045E9</v>
      </c>
      <c r="E154" s="48">
        <v>6.877166311E9</v>
      </c>
      <c r="F154" s="48">
        <v>-27.0</v>
      </c>
      <c r="G154" s="48">
        <v>258.13</v>
      </c>
      <c r="H154" s="49" t="b">
        <v>1</v>
      </c>
      <c r="I154" s="49" t="b">
        <v>0</v>
      </c>
      <c r="J154" s="49" t="b">
        <v>0</v>
      </c>
      <c r="K154" s="49" t="b">
        <v>0</v>
      </c>
      <c r="L154" s="2" t="s">
        <v>14</v>
      </c>
    </row>
    <row r="155" ht="15.75" customHeight="1">
      <c r="A155" s="47">
        <v>46190.79027777778</v>
      </c>
      <c r="B155" s="3" t="s">
        <v>17</v>
      </c>
      <c r="C155" s="3" t="s">
        <v>132</v>
      </c>
      <c r="D155" s="48">
        <v>9.367965094E9</v>
      </c>
      <c r="E155" s="48">
        <v>6.879592147E9</v>
      </c>
      <c r="F155" s="48">
        <v>-26.0</v>
      </c>
      <c r="G155" s="48">
        <v>232.13</v>
      </c>
      <c r="H155" s="49" t="b">
        <v>1</v>
      </c>
      <c r="I155" s="49" t="b">
        <v>0</v>
      </c>
      <c r="J155" s="49" t="b">
        <v>0</v>
      </c>
      <c r="K155" s="49" t="b">
        <v>0</v>
      </c>
      <c r="L155" s="2" t="s">
        <v>16</v>
      </c>
    </row>
    <row r="156" ht="15.75" customHeight="1">
      <c r="A156" s="47">
        <v>46191.95694444444</v>
      </c>
      <c r="B156" s="3" t="s">
        <v>41</v>
      </c>
      <c r="C156" s="3" t="s">
        <v>132</v>
      </c>
      <c r="D156" s="48">
        <v>9.372531773E9</v>
      </c>
      <c r="E156" s="48">
        <v>6.879592147E9</v>
      </c>
      <c r="F156" s="48">
        <v>83.2</v>
      </c>
      <c r="G156" s="48">
        <v>315.33</v>
      </c>
      <c r="H156" s="49" t="b">
        <v>1</v>
      </c>
      <c r="I156" s="49" t="b">
        <v>0</v>
      </c>
      <c r="J156" s="49" t="b">
        <v>0</v>
      </c>
      <c r="K156" s="49" t="b">
        <v>0</v>
      </c>
      <c r="L156" s="2" t="s">
        <v>16</v>
      </c>
    </row>
    <row r="157" ht="15.75" customHeight="1">
      <c r="A157" s="47">
        <v>46192.56875</v>
      </c>
      <c r="B157" s="3" t="s">
        <v>17</v>
      </c>
      <c r="C157" s="3" t="s">
        <v>136</v>
      </c>
      <c r="D157" s="48">
        <v>9.373737172E9</v>
      </c>
      <c r="E157" s="48">
        <v>6.883639769E9</v>
      </c>
      <c r="F157" s="48">
        <v>-5.0</v>
      </c>
      <c r="G157" s="48">
        <v>310.33</v>
      </c>
      <c r="H157" s="49" t="b">
        <v>1</v>
      </c>
      <c r="I157" s="49" t="b">
        <v>0</v>
      </c>
      <c r="J157" s="49" t="b">
        <v>0</v>
      </c>
      <c r="K157" s="49" t="b">
        <v>0</v>
      </c>
      <c r="L157" s="2" t="s">
        <v>16</v>
      </c>
    </row>
    <row r="158" ht="15.75" customHeight="1">
      <c r="A158" s="47">
        <v>46192.85763888889</v>
      </c>
      <c r="B158" s="3" t="s">
        <v>37</v>
      </c>
      <c r="C158" s="3" t="s">
        <v>129</v>
      </c>
      <c r="D158" s="48">
        <v>9.375872414E9</v>
      </c>
      <c r="E158" s="48">
        <v>6.877166311E9</v>
      </c>
      <c r="F158" s="48">
        <v>27.0</v>
      </c>
      <c r="G158" s="48">
        <v>337.33</v>
      </c>
      <c r="H158" s="49" t="b">
        <v>1</v>
      </c>
      <c r="I158" s="49" t="b">
        <v>0</v>
      </c>
      <c r="J158" s="49" t="b">
        <v>0</v>
      </c>
      <c r="K158" s="49" t="b">
        <v>0</v>
      </c>
      <c r="L158" s="2" t="s">
        <v>14</v>
      </c>
    </row>
    <row r="159" ht="15.75" customHeight="1">
      <c r="A159" s="47">
        <v>46192.927083333336</v>
      </c>
      <c r="B159" s="3" t="s">
        <v>17</v>
      </c>
      <c r="C159" s="3" t="s">
        <v>137</v>
      </c>
      <c r="D159" s="48">
        <v>9.376356412E9</v>
      </c>
      <c r="E159" s="48">
        <v>6.885461152E9</v>
      </c>
      <c r="F159" s="48">
        <v>-30.0</v>
      </c>
      <c r="G159" s="48">
        <v>307.33</v>
      </c>
      <c r="H159" s="49" t="b">
        <v>1</v>
      </c>
      <c r="I159" s="49" t="b">
        <v>0</v>
      </c>
      <c r="J159" s="49" t="b">
        <v>0</v>
      </c>
      <c r="K159" s="49" t="b">
        <v>0</v>
      </c>
      <c r="L159" s="2" t="s">
        <v>14</v>
      </c>
    </row>
    <row r="160" ht="15.75" customHeight="1">
      <c r="A160" s="47">
        <v>46192.95763888889</v>
      </c>
      <c r="B160" s="3" t="s">
        <v>17</v>
      </c>
      <c r="C160" s="3" t="s">
        <v>138</v>
      </c>
      <c r="D160" s="48">
        <v>9.376541445E9</v>
      </c>
      <c r="E160" s="48">
        <v>6.885587981E9</v>
      </c>
      <c r="F160" s="48">
        <v>-24.0</v>
      </c>
      <c r="G160" s="48">
        <v>283.33</v>
      </c>
      <c r="H160" s="49" t="b">
        <v>1</v>
      </c>
      <c r="I160" s="49" t="b">
        <v>0</v>
      </c>
      <c r="J160" s="49" t="b">
        <v>0</v>
      </c>
      <c r="K160" s="49" t="b">
        <v>0</v>
      </c>
      <c r="L160" s="2" t="s">
        <v>14</v>
      </c>
    </row>
    <row r="161" ht="15.75" customHeight="1">
      <c r="A161" s="47">
        <v>46193.39444444444</v>
      </c>
      <c r="B161" s="3" t="s">
        <v>17</v>
      </c>
      <c r="C161" s="3" t="s">
        <v>139</v>
      </c>
      <c r="D161" s="48">
        <v>9.377447098E9</v>
      </c>
      <c r="E161" s="48">
        <v>6.88626278E9</v>
      </c>
      <c r="F161" s="48">
        <v>-26.0</v>
      </c>
      <c r="G161" s="48">
        <v>257.33</v>
      </c>
      <c r="H161" s="49" t="b">
        <v>1</v>
      </c>
      <c r="I161" s="49" t="b">
        <v>0</v>
      </c>
      <c r="J161" s="49" t="b">
        <v>0</v>
      </c>
      <c r="K161" s="49" t="b">
        <v>0</v>
      </c>
      <c r="L161" s="2" t="s">
        <v>16</v>
      </c>
    </row>
    <row r="162" ht="15.75" customHeight="1">
      <c r="A162" s="47">
        <v>46193.40625</v>
      </c>
      <c r="B162" s="3" t="s">
        <v>17</v>
      </c>
      <c r="C162" s="3" t="s">
        <v>140</v>
      </c>
      <c r="D162" s="48">
        <v>9.377503375E9</v>
      </c>
      <c r="E162" s="48">
        <v>6.88630964E9</v>
      </c>
      <c r="F162" s="48">
        <v>-28.5</v>
      </c>
      <c r="G162" s="48">
        <v>228.83</v>
      </c>
      <c r="H162" s="49" t="b">
        <v>1</v>
      </c>
      <c r="I162" s="49" t="b">
        <v>0</v>
      </c>
      <c r="J162" s="49" t="b">
        <v>0</v>
      </c>
      <c r="K162" s="49" t="b">
        <v>0</v>
      </c>
      <c r="L162" s="2" t="s">
        <v>15</v>
      </c>
    </row>
    <row r="163" ht="15.75" customHeight="1">
      <c r="A163" s="47">
        <v>46193.779861111114</v>
      </c>
      <c r="B163" s="3" t="s">
        <v>41</v>
      </c>
      <c r="C163" s="3" t="s">
        <v>137</v>
      </c>
      <c r="D163" s="48">
        <v>9.382329145E9</v>
      </c>
      <c r="E163" s="48">
        <v>6.885461152E9</v>
      </c>
      <c r="F163" s="48">
        <v>73.5</v>
      </c>
      <c r="G163" s="48">
        <v>302.33</v>
      </c>
      <c r="H163" s="49" t="b">
        <v>1</v>
      </c>
      <c r="I163" s="49" t="b">
        <v>0</v>
      </c>
      <c r="J163" s="49" t="b">
        <v>0</v>
      </c>
      <c r="K163" s="49" t="b">
        <v>0</v>
      </c>
      <c r="L163" s="2" t="s">
        <v>14</v>
      </c>
    </row>
    <row r="164" ht="15.75" customHeight="1">
      <c r="A164" s="47">
        <v>46194.40625</v>
      </c>
      <c r="B164" s="3" t="s">
        <v>17</v>
      </c>
      <c r="C164" s="3" t="s">
        <v>141</v>
      </c>
      <c r="D164" s="48">
        <v>9.383871984E9</v>
      </c>
      <c r="E164" s="48">
        <v>6.891055052E9</v>
      </c>
      <c r="F164" s="48">
        <v>-28.5</v>
      </c>
      <c r="G164" s="48">
        <v>273.83</v>
      </c>
      <c r="H164" s="49" t="b">
        <v>1</v>
      </c>
      <c r="I164" s="49" t="b">
        <v>0</v>
      </c>
      <c r="J164" s="49" t="b">
        <v>0</v>
      </c>
      <c r="K164" s="49" t="b">
        <v>0</v>
      </c>
      <c r="L164" s="2" t="s">
        <v>15</v>
      </c>
    </row>
    <row r="165" ht="15.75" customHeight="1">
      <c r="A165" s="47">
        <v>46194.65902777778</v>
      </c>
      <c r="B165" s="3" t="s">
        <v>41</v>
      </c>
      <c r="C165" s="3" t="s">
        <v>138</v>
      </c>
      <c r="D165" s="48">
        <v>9.385469604E9</v>
      </c>
      <c r="E165" s="48">
        <v>6.885587981E9</v>
      </c>
      <c r="F165" s="48">
        <v>64.8</v>
      </c>
      <c r="G165" s="48">
        <v>338.63</v>
      </c>
      <c r="H165" s="49" t="b">
        <v>1</v>
      </c>
      <c r="I165" s="49" t="b">
        <v>0</v>
      </c>
      <c r="J165" s="49" t="b">
        <v>0</v>
      </c>
      <c r="K165" s="49" t="b">
        <v>0</v>
      </c>
      <c r="L165" s="2" t="s">
        <v>14</v>
      </c>
    </row>
    <row r="166" ht="15.75" customHeight="1">
      <c r="A166" s="47">
        <v>46194.7125</v>
      </c>
      <c r="B166" s="3" t="s">
        <v>41</v>
      </c>
      <c r="C166" s="3" t="s">
        <v>128</v>
      </c>
      <c r="D166" s="48">
        <v>9.38588705E9</v>
      </c>
      <c r="E166" s="48">
        <v>6.875999587E9</v>
      </c>
      <c r="F166" s="48">
        <v>9.64</v>
      </c>
      <c r="G166" s="48">
        <v>348.27</v>
      </c>
      <c r="H166" s="49" t="b">
        <v>0</v>
      </c>
      <c r="I166" s="49" t="b">
        <v>1</v>
      </c>
      <c r="J166" s="49" t="b">
        <v>0</v>
      </c>
      <c r="K166" s="49" t="b">
        <v>0</v>
      </c>
      <c r="L166" s="2" t="s">
        <v>14</v>
      </c>
    </row>
    <row r="167" ht="15.75" customHeight="1">
      <c r="A167" s="47">
        <v>46196.80902777778</v>
      </c>
      <c r="B167" s="3" t="s">
        <v>17</v>
      </c>
      <c r="C167" s="3" t="s">
        <v>142</v>
      </c>
      <c r="D167" s="48">
        <v>9.390122385E9</v>
      </c>
      <c r="E167" s="48">
        <v>6.895440769E9</v>
      </c>
      <c r="F167" s="48">
        <v>-35.0</v>
      </c>
      <c r="G167" s="48">
        <v>313.27</v>
      </c>
      <c r="H167" s="49" t="b">
        <v>1</v>
      </c>
      <c r="I167" s="49" t="b">
        <v>0</v>
      </c>
      <c r="J167" s="49" t="b">
        <v>0</v>
      </c>
      <c r="K167" s="49" t="b">
        <v>0</v>
      </c>
      <c r="L167" s="2" t="s">
        <v>14</v>
      </c>
    </row>
    <row r="168" ht="15.75" customHeight="1">
      <c r="A168" s="47">
        <v>46198.56319444445</v>
      </c>
      <c r="B168" s="3" t="s">
        <v>35</v>
      </c>
      <c r="C168" s="3" t="s">
        <v>142</v>
      </c>
      <c r="D168" s="48">
        <v>9.394163043E9</v>
      </c>
      <c r="E168" s="48">
        <v>6.895440769E9</v>
      </c>
      <c r="F168" s="48">
        <v>33.25</v>
      </c>
      <c r="G168" s="48">
        <v>346.52</v>
      </c>
      <c r="H168" s="49" t="b">
        <v>1</v>
      </c>
      <c r="I168" s="49" t="b">
        <v>0</v>
      </c>
      <c r="J168" s="49" t="b">
        <v>0</v>
      </c>
      <c r="K168" s="49" t="b">
        <v>0</v>
      </c>
      <c r="L168" s="2" t="s">
        <v>14</v>
      </c>
    </row>
    <row r="169" ht="15.75" customHeight="1">
      <c r="A169" s="47">
        <v>46198.563888888886</v>
      </c>
      <c r="B169" s="3" t="s">
        <v>17</v>
      </c>
      <c r="C169" s="3" t="s">
        <v>142</v>
      </c>
      <c r="D169" s="48">
        <v>9.394165824E9</v>
      </c>
      <c r="E169" s="48">
        <v>6.898315794E9</v>
      </c>
      <c r="F169" s="48">
        <v>-33.25</v>
      </c>
      <c r="G169" s="48">
        <v>313.27</v>
      </c>
      <c r="H169" s="49" t="b">
        <v>1</v>
      </c>
      <c r="I169" s="49" t="b">
        <v>0</v>
      </c>
      <c r="J169" s="49" t="b">
        <v>0</v>
      </c>
      <c r="K169" s="49" t="b">
        <v>0</v>
      </c>
      <c r="L169" s="2" t="s">
        <v>14</v>
      </c>
    </row>
    <row r="170" ht="15.75" customHeight="1">
      <c r="A170" s="47">
        <v>46199.45347222222</v>
      </c>
      <c r="B170" s="3" t="s">
        <v>17</v>
      </c>
      <c r="C170" s="3" t="s">
        <v>143</v>
      </c>
      <c r="D170" s="48">
        <v>9.396988399E9</v>
      </c>
      <c r="E170" s="48">
        <v>6.900387719E9</v>
      </c>
      <c r="F170" s="48">
        <v>-35.0</v>
      </c>
      <c r="G170" s="48">
        <v>278.27</v>
      </c>
      <c r="H170" s="49" t="b">
        <v>1</v>
      </c>
      <c r="I170" s="49" t="b">
        <v>0</v>
      </c>
      <c r="J170" s="49" t="b">
        <v>0</v>
      </c>
      <c r="K170" s="49" t="b">
        <v>0</v>
      </c>
      <c r="L170" s="2" t="s">
        <v>16</v>
      </c>
    </row>
    <row r="171" ht="15.75" customHeight="1">
      <c r="A171" s="47">
        <v>46199.75555555556</v>
      </c>
      <c r="B171" s="3" t="s">
        <v>17</v>
      </c>
      <c r="C171" s="3" t="s">
        <v>144</v>
      </c>
      <c r="D171" s="48">
        <v>9.398899545E9</v>
      </c>
      <c r="E171" s="48">
        <v>6.901748991E9</v>
      </c>
      <c r="F171" s="48">
        <v>-35.0</v>
      </c>
      <c r="G171" s="48">
        <v>243.27</v>
      </c>
      <c r="H171" s="49" t="b">
        <v>1</v>
      </c>
      <c r="I171" s="49" t="b">
        <v>0</v>
      </c>
      <c r="J171" s="49" t="b">
        <v>0</v>
      </c>
      <c r="K171" s="49" t="b">
        <v>0</v>
      </c>
      <c r="L171" s="2" t="s">
        <v>15</v>
      </c>
    </row>
    <row r="172" ht="15.75" customHeight="1">
      <c r="A172" s="47">
        <v>46199.92986111111</v>
      </c>
      <c r="B172" s="3" t="s">
        <v>41</v>
      </c>
      <c r="C172" s="3" t="s">
        <v>144</v>
      </c>
      <c r="D172" s="48">
        <v>9.400051117E9</v>
      </c>
      <c r="E172" s="48">
        <v>6.901748991E9</v>
      </c>
      <c r="F172" s="48">
        <v>105.0</v>
      </c>
      <c r="G172" s="48">
        <v>348.27</v>
      </c>
      <c r="H172" s="49" t="b">
        <v>1</v>
      </c>
      <c r="I172" s="49" t="b">
        <v>0</v>
      </c>
      <c r="J172" s="49" t="b">
        <v>0</v>
      </c>
      <c r="K172" s="49" t="b">
        <v>0</v>
      </c>
      <c r="L172" s="2" t="s">
        <v>15</v>
      </c>
    </row>
    <row r="173" ht="15.75" customHeight="1">
      <c r="A173" s="47">
        <v>46199.94930555556</v>
      </c>
      <c r="B173" s="3" t="s">
        <v>17</v>
      </c>
      <c r="C173" s="3" t="s">
        <v>145</v>
      </c>
      <c r="D173" s="48">
        <v>9.40016401E9</v>
      </c>
      <c r="E173" s="48">
        <v>6.902601865E9</v>
      </c>
      <c r="F173" s="48">
        <v>-35.0</v>
      </c>
      <c r="G173" s="48">
        <v>313.27</v>
      </c>
      <c r="H173" s="49" t="b">
        <v>1</v>
      </c>
      <c r="I173" s="49" t="b">
        <v>0</v>
      </c>
      <c r="J173" s="49" t="b">
        <v>0</v>
      </c>
      <c r="K173" s="49" t="b">
        <v>0</v>
      </c>
      <c r="L173" s="2" t="s">
        <v>14</v>
      </c>
    </row>
    <row r="174" ht="15.75" customHeight="1">
      <c r="A174" s="47">
        <v>46200.66527777778</v>
      </c>
      <c r="B174" s="3" t="s">
        <v>17</v>
      </c>
      <c r="C174" s="3" t="s">
        <v>146</v>
      </c>
      <c r="D174" s="48">
        <v>9.404441008E9</v>
      </c>
      <c r="E174" s="48">
        <v>6.905816528E9</v>
      </c>
      <c r="F174" s="48">
        <v>-35.0</v>
      </c>
      <c r="G174" s="48">
        <v>278.27</v>
      </c>
      <c r="H174" s="49" t="b">
        <v>1</v>
      </c>
      <c r="I174" s="49" t="b">
        <v>0</v>
      </c>
      <c r="J174" s="49" t="b">
        <v>0</v>
      </c>
      <c r="K174" s="49" t="b">
        <v>0</v>
      </c>
      <c r="L174" s="2" t="s">
        <v>16</v>
      </c>
    </row>
    <row r="175" ht="15.75" customHeight="1">
      <c r="A175" s="47">
        <v>46200.67638888889</v>
      </c>
      <c r="B175" s="3" t="s">
        <v>17</v>
      </c>
      <c r="C175" s="3" t="s">
        <v>147</v>
      </c>
      <c r="D175" s="48">
        <v>9.404670476E9</v>
      </c>
      <c r="E175" s="48">
        <v>6.905984915E9</v>
      </c>
      <c r="F175" s="48">
        <v>-35.0</v>
      </c>
      <c r="G175" s="48">
        <v>243.27</v>
      </c>
      <c r="H175" s="49" t="b">
        <v>1</v>
      </c>
      <c r="I175" s="49" t="b">
        <v>0</v>
      </c>
      <c r="J175" s="49" t="b">
        <v>0</v>
      </c>
      <c r="K175" s="49" t="b">
        <v>0</v>
      </c>
      <c r="L175" s="2" t="s">
        <v>15</v>
      </c>
    </row>
    <row r="176" ht="15.75" customHeight="1">
      <c r="A176" s="47">
        <v>46204.69375</v>
      </c>
      <c r="B176" s="54" t="s">
        <v>17</v>
      </c>
      <c r="C176" s="54" t="s">
        <v>148</v>
      </c>
      <c r="D176" s="55">
        <v>9.415189041E9</v>
      </c>
      <c r="E176" s="55">
        <v>6.913466469E9</v>
      </c>
      <c r="F176" s="55">
        <v>-24.0</v>
      </c>
      <c r="G176" s="55">
        <v>219.27</v>
      </c>
      <c r="H176" s="56" t="b">
        <v>1</v>
      </c>
      <c r="I176" s="56" t="b">
        <v>0</v>
      </c>
      <c r="J176" s="56" t="b">
        <v>0</v>
      </c>
      <c r="K176" s="56" t="b">
        <v>0</v>
      </c>
      <c r="L176" s="57" t="s">
        <v>14</v>
      </c>
    </row>
    <row r="177" ht="15.75" customHeight="1">
      <c r="A177" s="47">
        <v>46205.87430555555</v>
      </c>
      <c r="B177" s="54" t="s">
        <v>17</v>
      </c>
      <c r="C177" s="54" t="s">
        <v>149</v>
      </c>
      <c r="D177" s="55">
        <v>9.418795158E9</v>
      </c>
      <c r="E177" s="55">
        <v>6.916081914E9</v>
      </c>
      <c r="F177" s="55">
        <v>-25.0</v>
      </c>
      <c r="G177" s="55">
        <v>194.27</v>
      </c>
      <c r="H177" s="56" t="b">
        <v>1</v>
      </c>
      <c r="I177" s="56" t="b">
        <v>0</v>
      </c>
      <c r="J177" s="56" t="b">
        <v>0</v>
      </c>
      <c r="K177" s="56" t="b">
        <v>0</v>
      </c>
      <c r="L177" s="57" t="s">
        <v>16</v>
      </c>
    </row>
    <row r="178" ht="15.75" customHeight="1">
      <c r="A178" s="47">
        <v>46205.938888888886</v>
      </c>
      <c r="B178" s="54" t="s">
        <v>41</v>
      </c>
      <c r="C178" s="54" t="s">
        <v>148</v>
      </c>
      <c r="D178" s="55">
        <v>9.419098367E9</v>
      </c>
      <c r="E178" s="55">
        <v>6.913466469E9</v>
      </c>
      <c r="F178" s="55">
        <v>58.8</v>
      </c>
      <c r="G178" s="55">
        <v>253.07</v>
      </c>
      <c r="H178" s="56" t="b">
        <v>1</v>
      </c>
      <c r="I178" s="56" t="b">
        <v>0</v>
      </c>
      <c r="J178" s="56" t="b">
        <v>0</v>
      </c>
      <c r="K178" s="56" t="b">
        <v>0</v>
      </c>
      <c r="L178" s="57" t="s">
        <v>14</v>
      </c>
    </row>
    <row r="179" ht="15.75" customHeight="1">
      <c r="A179" s="47">
        <v>46205.950694444444</v>
      </c>
      <c r="B179" s="54" t="s">
        <v>17</v>
      </c>
      <c r="C179" s="54" t="s">
        <v>150</v>
      </c>
      <c r="D179" s="55">
        <v>9.41915003E9</v>
      </c>
      <c r="E179" s="55">
        <v>6.916320042E9</v>
      </c>
      <c r="F179" s="55">
        <v>-24.0</v>
      </c>
      <c r="G179" s="55">
        <v>229.07</v>
      </c>
      <c r="H179" s="56" t="b">
        <v>1</v>
      </c>
      <c r="I179" s="56" t="b">
        <v>0</v>
      </c>
      <c r="J179" s="56" t="b">
        <v>0</v>
      </c>
      <c r="K179" s="56" t="b">
        <v>0</v>
      </c>
      <c r="L179" s="57" t="s">
        <v>14</v>
      </c>
    </row>
    <row r="180" ht="15.75" customHeight="1">
      <c r="A180" s="47">
        <v>46206.959027777775</v>
      </c>
      <c r="B180" s="54" t="s">
        <v>17</v>
      </c>
      <c r="C180" s="54" t="s">
        <v>151</v>
      </c>
      <c r="D180" s="55">
        <v>9.423069054E9</v>
      </c>
      <c r="E180" s="55">
        <v>6.919095509E9</v>
      </c>
      <c r="F180" s="55">
        <v>-23.0</v>
      </c>
      <c r="G180" s="55">
        <v>206.07</v>
      </c>
      <c r="H180" s="56" t="b">
        <v>1</v>
      </c>
      <c r="I180" s="56" t="b">
        <v>0</v>
      </c>
      <c r="J180" s="56" t="b">
        <v>0</v>
      </c>
      <c r="K180" s="56" t="b">
        <v>0</v>
      </c>
      <c r="L180" s="57" t="s">
        <v>16</v>
      </c>
    </row>
    <row r="181" ht="15.75" customHeight="1">
      <c r="A181" s="47">
        <v>46207.45277777778</v>
      </c>
      <c r="B181" s="54" t="s">
        <v>17</v>
      </c>
      <c r="C181" s="54" t="s">
        <v>152</v>
      </c>
      <c r="D181" s="55">
        <v>9.424307828E9</v>
      </c>
      <c r="E181" s="55">
        <v>6.920044576E9</v>
      </c>
      <c r="F181" s="55">
        <v>-24.0</v>
      </c>
      <c r="G181" s="55">
        <v>182.07</v>
      </c>
      <c r="H181" s="56" t="b">
        <v>1</v>
      </c>
      <c r="I181" s="56" t="b">
        <v>0</v>
      </c>
      <c r="J181" s="56" t="b">
        <v>0</v>
      </c>
      <c r="K181" s="56" t="b">
        <v>0</v>
      </c>
      <c r="L181" s="57" t="s">
        <v>15</v>
      </c>
    </row>
    <row r="182" ht="15.75" customHeight="1">
      <c r="A182" s="47">
        <v>46207.61944444444</v>
      </c>
      <c r="B182" s="54" t="s">
        <v>17</v>
      </c>
      <c r="C182" s="54" t="s">
        <v>151</v>
      </c>
      <c r="D182" s="55">
        <v>9.426628519E9</v>
      </c>
      <c r="E182" s="55">
        <v>6.9217943E9</v>
      </c>
      <c r="F182" s="55">
        <v>0.0</v>
      </c>
      <c r="G182" s="55">
        <v>182.07</v>
      </c>
      <c r="H182" s="56" t="b">
        <v>1</v>
      </c>
      <c r="I182" s="56" t="b">
        <v>0</v>
      </c>
      <c r="J182" s="56" t="b">
        <v>0</v>
      </c>
      <c r="K182" s="56" t="b">
        <v>0</v>
      </c>
      <c r="L182" s="57" t="s">
        <v>16</v>
      </c>
    </row>
    <row r="183" ht="15.75" customHeight="1">
      <c r="A183" s="47">
        <v>46207.663194444445</v>
      </c>
      <c r="B183" s="54" t="s">
        <v>41</v>
      </c>
      <c r="C183" s="54" t="s">
        <v>150</v>
      </c>
      <c r="D183" s="55">
        <v>9.427373416E9</v>
      </c>
      <c r="E183" s="55">
        <v>6.916320042E9</v>
      </c>
      <c r="F183" s="55">
        <v>52.8</v>
      </c>
      <c r="G183" s="55">
        <v>234.87</v>
      </c>
      <c r="H183" s="56" t="b">
        <v>1</v>
      </c>
      <c r="I183" s="56" t="b">
        <v>0</v>
      </c>
      <c r="J183" s="56" t="b">
        <v>0</v>
      </c>
      <c r="K183" s="56" t="b">
        <v>0</v>
      </c>
      <c r="L183" s="57" t="s">
        <v>14</v>
      </c>
    </row>
    <row r="184" ht="15.75" customHeight="1">
      <c r="A184" s="47">
        <v>46207.8875</v>
      </c>
      <c r="B184" s="54" t="s">
        <v>41</v>
      </c>
      <c r="C184" s="54" t="s">
        <v>151</v>
      </c>
      <c r="D184" s="55">
        <v>9.429440315E9</v>
      </c>
      <c r="E184" s="55">
        <v>6.9217943E9</v>
      </c>
      <c r="F184" s="55">
        <v>50.0</v>
      </c>
      <c r="G184" s="55">
        <v>284.87</v>
      </c>
      <c r="H184" s="56" t="b">
        <v>1</v>
      </c>
      <c r="I184" s="56" t="b">
        <v>0</v>
      </c>
      <c r="J184" s="56" t="b">
        <v>0</v>
      </c>
      <c r="K184" s="56" t="b">
        <v>0</v>
      </c>
      <c r="L184" s="57" t="s">
        <v>16</v>
      </c>
    </row>
    <row r="185" ht="15.75" customHeight="1">
      <c r="A185" s="47">
        <v>46208.48819444444</v>
      </c>
      <c r="B185" s="54" t="s">
        <v>17</v>
      </c>
      <c r="C185" s="54" t="s">
        <v>155</v>
      </c>
      <c r="D185" s="55">
        <v>9.430544242E9</v>
      </c>
      <c r="E185" s="55">
        <v>6.924655092E9</v>
      </c>
      <c r="F185" s="55">
        <v>-24.0</v>
      </c>
      <c r="G185" s="55">
        <v>260.87</v>
      </c>
      <c r="H185" s="56" t="b">
        <v>1</v>
      </c>
      <c r="I185" s="56" t="b">
        <v>0</v>
      </c>
      <c r="J185" s="56" t="b">
        <v>0</v>
      </c>
      <c r="K185" s="56" t="b">
        <v>0</v>
      </c>
      <c r="L185" s="57" t="s">
        <v>15</v>
      </c>
    </row>
    <row r="186" ht="15.75" customHeight="1">
      <c r="A186" s="47">
        <v>46212.467361111114</v>
      </c>
      <c r="B186" s="54" t="s">
        <v>17</v>
      </c>
      <c r="C186" s="54" t="s">
        <v>156</v>
      </c>
      <c r="D186" s="55">
        <v>9.441141573E9</v>
      </c>
      <c r="E186" s="55">
        <v>6.932167131E9</v>
      </c>
      <c r="F186" s="55">
        <v>-26.0</v>
      </c>
      <c r="G186" s="55">
        <v>234.87</v>
      </c>
      <c r="H186" s="56" t="b">
        <v>1</v>
      </c>
      <c r="I186" s="56" t="b">
        <v>0</v>
      </c>
      <c r="J186" s="56" t="b">
        <v>0</v>
      </c>
      <c r="K186" s="56" t="b">
        <v>0</v>
      </c>
      <c r="L186" s="57" t="s">
        <v>14</v>
      </c>
    </row>
    <row r="187" ht="15.75" customHeight="1">
      <c r="A187" s="47">
        <v>46212.76944444444</v>
      </c>
      <c r="B187" s="54" t="s">
        <v>17</v>
      </c>
      <c r="C187" s="54" t="s">
        <v>156</v>
      </c>
      <c r="D187" s="55">
        <v>9.442373337E9</v>
      </c>
      <c r="E187" s="55">
        <v>6.93306346E9</v>
      </c>
      <c r="F187" s="55">
        <v>-26.0</v>
      </c>
      <c r="G187" s="55">
        <v>208.87</v>
      </c>
      <c r="H187" s="56" t="b">
        <v>1</v>
      </c>
      <c r="I187" s="56" t="b">
        <v>0</v>
      </c>
      <c r="J187" s="56" t="b">
        <v>0</v>
      </c>
      <c r="K187" s="56" t="b">
        <v>0</v>
      </c>
      <c r="L187" s="57" t="s">
        <v>15</v>
      </c>
    </row>
    <row r="188" ht="15.75" customHeight="1">
      <c r="A188" s="47">
        <v>46212.95</v>
      </c>
      <c r="B188" s="54" t="s">
        <v>41</v>
      </c>
      <c r="C188" s="54" t="s">
        <v>156</v>
      </c>
      <c r="D188" s="55">
        <v>9.443270412E9</v>
      </c>
      <c r="E188" s="55">
        <v>6.932167131E9</v>
      </c>
      <c r="F188" s="55">
        <v>76.7</v>
      </c>
      <c r="G188" s="55">
        <v>285.57</v>
      </c>
      <c r="H188" s="56" t="b">
        <v>1</v>
      </c>
      <c r="I188" s="56" t="b">
        <v>0</v>
      </c>
      <c r="J188" s="56" t="b">
        <v>0</v>
      </c>
      <c r="K188" s="56" t="b">
        <v>0</v>
      </c>
      <c r="L188" s="57" t="s">
        <v>14</v>
      </c>
    </row>
    <row r="189" ht="15.75" customHeight="1">
      <c r="A189" s="47">
        <v>46212.96041666667</v>
      </c>
      <c r="B189" s="54" t="s">
        <v>17</v>
      </c>
      <c r="C189" s="54" t="s">
        <v>157</v>
      </c>
      <c r="D189" s="55">
        <v>9.443339593E9</v>
      </c>
      <c r="E189" s="55">
        <v>6.933745438E9</v>
      </c>
      <c r="F189" s="55">
        <v>-26.0</v>
      </c>
      <c r="G189" s="55">
        <v>259.57</v>
      </c>
      <c r="H189" s="56" t="b">
        <v>1</v>
      </c>
      <c r="I189" s="56" t="b">
        <v>0</v>
      </c>
      <c r="J189" s="56" t="b">
        <v>0</v>
      </c>
      <c r="K189" s="56" t="b">
        <v>0</v>
      </c>
      <c r="L189" s="57" t="s">
        <v>14</v>
      </c>
    </row>
    <row r="190" ht="15.75" customHeight="1">
      <c r="A190" s="47">
        <v>46213.46111111111</v>
      </c>
      <c r="B190" s="54" t="s">
        <v>17</v>
      </c>
      <c r="C190" s="54" t="s">
        <v>158</v>
      </c>
      <c r="D190" s="55">
        <v>9.443980031E9</v>
      </c>
      <c r="E190" s="55">
        <v>6.934172175E9</v>
      </c>
      <c r="F190" s="55">
        <v>-26.0</v>
      </c>
      <c r="G190" s="55">
        <v>233.57</v>
      </c>
      <c r="H190" s="56" t="b">
        <v>1</v>
      </c>
      <c r="I190" s="56" t="b">
        <v>0</v>
      </c>
      <c r="J190" s="56" t="b">
        <v>0</v>
      </c>
      <c r="K190" s="56" t="b">
        <v>0</v>
      </c>
      <c r="L190" s="57" t="s">
        <v>15</v>
      </c>
    </row>
    <row r="191" ht="15.75" customHeight="1">
      <c r="A191" s="47">
        <v>46213.84444444445</v>
      </c>
      <c r="B191" s="54" t="s">
        <v>17</v>
      </c>
      <c r="C191" s="54" t="s">
        <v>159</v>
      </c>
      <c r="D191" s="55">
        <v>9.446123127E9</v>
      </c>
      <c r="E191" s="55">
        <v>6.935750911E9</v>
      </c>
      <c r="F191" s="55">
        <v>-26.0</v>
      </c>
      <c r="G191" s="55">
        <v>207.57</v>
      </c>
      <c r="H191" s="56" t="b">
        <v>1</v>
      </c>
      <c r="I191" s="56" t="b">
        <v>0</v>
      </c>
      <c r="J191" s="56" t="b">
        <v>0</v>
      </c>
      <c r="K191" s="56" t="b">
        <v>0</v>
      </c>
      <c r="L191" s="57" t="s">
        <v>16</v>
      </c>
    </row>
    <row r="192" ht="15.75" customHeight="1">
      <c r="A192" s="47">
        <v>46213.93263888889</v>
      </c>
      <c r="B192" s="54" t="s">
        <v>41</v>
      </c>
      <c r="C192" s="54" t="s">
        <v>158</v>
      </c>
      <c r="D192" s="55">
        <v>9.44654805E9</v>
      </c>
      <c r="E192" s="55">
        <v>6.934172175E9</v>
      </c>
      <c r="F192" s="55">
        <v>68.25</v>
      </c>
      <c r="G192" s="55">
        <v>275.82</v>
      </c>
      <c r="H192" s="56" t="b">
        <v>1</v>
      </c>
      <c r="I192" s="56" t="b">
        <v>0</v>
      </c>
      <c r="J192" s="56" t="b">
        <v>0</v>
      </c>
      <c r="K192" s="56" t="b">
        <v>0</v>
      </c>
      <c r="L192" s="57" t="s">
        <v>15</v>
      </c>
    </row>
    <row r="193" ht="15.75" customHeight="1">
      <c r="A193" s="47">
        <v>46214.65347222222</v>
      </c>
      <c r="B193" s="54" t="s">
        <v>41</v>
      </c>
      <c r="C193" s="54" t="s">
        <v>159</v>
      </c>
      <c r="D193" s="55">
        <v>9.450573808E9</v>
      </c>
      <c r="E193" s="55">
        <v>6.935750911E9</v>
      </c>
      <c r="F193" s="55">
        <v>74.88</v>
      </c>
      <c r="G193" s="55">
        <v>350.7</v>
      </c>
      <c r="H193" s="56" t="b">
        <v>1</v>
      </c>
      <c r="I193" s="56" t="b">
        <v>0</v>
      </c>
      <c r="J193" s="56" t="b">
        <v>0</v>
      </c>
      <c r="K193" s="56" t="b">
        <v>0</v>
      </c>
      <c r="L193" s="57" t="s">
        <v>16</v>
      </c>
    </row>
    <row r="194" ht="15.75" customHeight="1">
      <c r="A194" s="47">
        <v>46214.65972222222</v>
      </c>
      <c r="B194" s="54" t="s">
        <v>17</v>
      </c>
      <c r="C194" s="54" t="s">
        <v>160</v>
      </c>
      <c r="D194" s="55">
        <v>9.450677177E9</v>
      </c>
      <c r="E194" s="55">
        <v>6.939099424E9</v>
      </c>
      <c r="F194" s="55">
        <v>-26.0</v>
      </c>
      <c r="G194" s="55">
        <v>324.7</v>
      </c>
      <c r="H194" s="56" t="b">
        <v>1</v>
      </c>
      <c r="I194" s="56" t="b">
        <v>0</v>
      </c>
      <c r="J194" s="56" t="b">
        <v>0</v>
      </c>
      <c r="K194" s="56" t="b">
        <v>0</v>
      </c>
      <c r="L194" s="57" t="s">
        <v>16</v>
      </c>
    </row>
    <row r="195" ht="15.75" customHeight="1">
      <c r="A195" s="47">
        <v>46217.51111111111</v>
      </c>
      <c r="B195" s="54" t="s">
        <v>17</v>
      </c>
      <c r="C195" s="54" t="s">
        <v>161</v>
      </c>
      <c r="D195" s="55">
        <v>9.459159638E9</v>
      </c>
      <c r="E195" s="55">
        <v>6.945105761E9</v>
      </c>
      <c r="F195" s="55">
        <v>-33.0</v>
      </c>
      <c r="G195" s="55">
        <v>291.7</v>
      </c>
      <c r="H195" s="56" t="b">
        <v>1</v>
      </c>
      <c r="I195" s="56" t="b">
        <v>0</v>
      </c>
      <c r="J195" s="56" t="b">
        <v>0</v>
      </c>
      <c r="K195" s="56" t="b">
        <v>0</v>
      </c>
      <c r="L195" s="57" t="s">
        <v>14</v>
      </c>
    </row>
    <row r="196" ht="15.75" customHeight="1">
      <c r="A196" s="47">
        <v>46218.89166666667</v>
      </c>
      <c r="B196" s="54" t="s">
        <v>17</v>
      </c>
      <c r="C196" s="54" t="s">
        <v>162</v>
      </c>
      <c r="D196" s="55">
        <v>9.462931717E9</v>
      </c>
      <c r="E196" s="55">
        <v>6.947833679E9</v>
      </c>
      <c r="F196" s="55">
        <v>-33.0</v>
      </c>
      <c r="G196" s="55">
        <v>258.7</v>
      </c>
      <c r="H196" s="56" t="b">
        <v>1</v>
      </c>
      <c r="I196" s="56" t="b">
        <v>0</v>
      </c>
      <c r="J196" s="56" t="b">
        <v>0</v>
      </c>
      <c r="K196" s="56" t="b">
        <v>0</v>
      </c>
      <c r="L196" s="57" t="s">
        <v>16</v>
      </c>
    </row>
    <row r="197" ht="15.75" customHeight="1">
      <c r="A197" s="47">
        <v>46219.9375</v>
      </c>
      <c r="B197" s="54" t="s">
        <v>17</v>
      </c>
      <c r="C197" s="54" t="s">
        <v>163</v>
      </c>
      <c r="D197" s="55">
        <v>9.466391174E9</v>
      </c>
      <c r="E197" s="55">
        <v>6.950280154E9</v>
      </c>
      <c r="F197" s="55">
        <v>-32.0</v>
      </c>
      <c r="G197" s="55">
        <v>226.7</v>
      </c>
      <c r="H197" s="56" t="b">
        <v>1</v>
      </c>
      <c r="I197" s="56" t="b">
        <v>0</v>
      </c>
      <c r="J197" s="56" t="b">
        <v>0</v>
      </c>
      <c r="K197" s="56" t="b">
        <v>0</v>
      </c>
      <c r="L197" s="57" t="s">
        <v>16</v>
      </c>
    </row>
    <row r="198" ht="15.75" customHeight="1">
      <c r="A198" s="47">
        <v>46220.95208333333</v>
      </c>
      <c r="B198" s="54" t="s">
        <v>17</v>
      </c>
      <c r="C198" s="54" t="s">
        <v>164</v>
      </c>
      <c r="D198" s="55">
        <v>9.469762331E9</v>
      </c>
      <c r="E198" s="55">
        <v>6.9526888E9</v>
      </c>
      <c r="F198" s="55">
        <v>-33.0</v>
      </c>
      <c r="G198" s="55">
        <v>193.7</v>
      </c>
      <c r="H198" s="56" t="b">
        <v>1</v>
      </c>
      <c r="I198" s="56" t="b">
        <v>0</v>
      </c>
      <c r="J198" s="56" t="b">
        <v>0</v>
      </c>
      <c r="K198" s="56" t="b">
        <v>0</v>
      </c>
      <c r="L198" s="57" t="s">
        <v>14</v>
      </c>
    </row>
    <row r="199" ht="15.75" customHeight="1">
      <c r="A199" s="47">
        <v>46221.572222222225</v>
      </c>
      <c r="B199" s="54" t="s">
        <v>17</v>
      </c>
      <c r="C199" s="54" t="s">
        <v>165</v>
      </c>
      <c r="D199" s="55">
        <v>9.472159685E9</v>
      </c>
      <c r="E199" s="55">
        <v>6.954535449E9</v>
      </c>
      <c r="F199" s="55">
        <v>0.0</v>
      </c>
      <c r="G199" s="55">
        <v>193.7</v>
      </c>
      <c r="H199" s="56" t="b">
        <v>1</v>
      </c>
      <c r="I199" s="56" t="b">
        <v>0</v>
      </c>
      <c r="J199" s="56" t="b">
        <v>0</v>
      </c>
      <c r="K199" s="56" t="b">
        <v>0</v>
      </c>
      <c r="L199" s="57" t="s">
        <v>14</v>
      </c>
    </row>
    <row r="200" ht="15.75" customHeight="1">
      <c r="A200" s="47">
        <v>46221.60833333333</v>
      </c>
      <c r="B200" s="54" t="s">
        <v>17</v>
      </c>
      <c r="C200" s="54" t="s">
        <v>166</v>
      </c>
      <c r="D200" s="55">
        <v>9.472783437E9</v>
      </c>
      <c r="E200" s="55">
        <v>6.955013125E9</v>
      </c>
      <c r="F200" s="55">
        <v>-32.5</v>
      </c>
      <c r="G200" s="55">
        <v>161.2</v>
      </c>
      <c r="H200" s="56" t="b">
        <v>1</v>
      </c>
      <c r="I200" s="56" t="b">
        <v>0</v>
      </c>
      <c r="J200" s="56" t="b">
        <v>0</v>
      </c>
      <c r="K200" s="56" t="b">
        <v>0</v>
      </c>
      <c r="L200" s="57" t="s">
        <v>15</v>
      </c>
    </row>
    <row r="201" ht="15.75" customHeight="1">
      <c r="A201" s="47">
        <v>46221.77013888889</v>
      </c>
      <c r="B201" s="54" t="s">
        <v>41</v>
      </c>
      <c r="C201" s="54" t="s">
        <v>164</v>
      </c>
      <c r="D201" s="55">
        <v>9.475230167E9</v>
      </c>
      <c r="E201" s="55">
        <v>6.9526888E9</v>
      </c>
      <c r="F201" s="55">
        <v>77.55</v>
      </c>
      <c r="G201" s="55">
        <v>238.75</v>
      </c>
      <c r="H201" s="56" t="b">
        <v>1</v>
      </c>
      <c r="I201" s="56" t="b">
        <v>0</v>
      </c>
      <c r="J201" s="56" t="b">
        <v>0</v>
      </c>
      <c r="K201" s="56" t="b">
        <v>0</v>
      </c>
      <c r="L201" s="57" t="s">
        <v>14</v>
      </c>
    </row>
    <row r="202" ht="15.75" customHeight="1">
      <c r="A202" s="47">
        <v>46221.95972222222</v>
      </c>
      <c r="B202" s="54" t="s">
        <v>17</v>
      </c>
      <c r="C202" s="54" t="s">
        <v>169</v>
      </c>
      <c r="D202" s="55">
        <v>9.476408446E9</v>
      </c>
      <c r="E202" s="55">
        <v>6.957622222E9</v>
      </c>
      <c r="F202" s="55">
        <v>-32.5</v>
      </c>
      <c r="G202" s="55">
        <v>206.25</v>
      </c>
      <c r="H202" s="56" t="b">
        <v>1</v>
      </c>
      <c r="I202" s="56" t="b">
        <v>0</v>
      </c>
      <c r="J202" s="56" t="b">
        <v>0</v>
      </c>
      <c r="K202" s="56" t="b">
        <v>0</v>
      </c>
      <c r="L202" s="57" t="s">
        <v>15</v>
      </c>
    </row>
    <row r="203" ht="15.75" customHeight="1">
      <c r="A203" s="47">
        <v>46225.78055555555</v>
      </c>
      <c r="B203" s="54" t="s">
        <v>17</v>
      </c>
      <c r="C203" s="54" t="s">
        <v>170</v>
      </c>
      <c r="D203" s="55">
        <v>9.484666391E9</v>
      </c>
      <c r="E203" s="55">
        <v>6.963469504E9</v>
      </c>
      <c r="F203" s="55">
        <v>-21.0</v>
      </c>
      <c r="G203" s="55">
        <v>185.25</v>
      </c>
      <c r="H203" s="56" t="b">
        <v>1</v>
      </c>
      <c r="I203" s="56" t="b">
        <v>0</v>
      </c>
      <c r="J203" s="56" t="b">
        <v>0</v>
      </c>
      <c r="K203" s="56" t="b">
        <v>0</v>
      </c>
      <c r="L203" s="57" t="s">
        <v>14</v>
      </c>
    </row>
    <row r="204" ht="15.75" customHeight="1">
      <c r="A204" s="47">
        <v>46226.95208333333</v>
      </c>
      <c r="B204" s="54" t="s">
        <v>17</v>
      </c>
      <c r="C204" s="54" t="s">
        <v>171</v>
      </c>
      <c r="D204" s="55">
        <v>9.488000802E9</v>
      </c>
      <c r="E204" s="55">
        <v>6.965850553E9</v>
      </c>
      <c r="F204" s="55">
        <v>-25.0</v>
      </c>
      <c r="G204" s="55">
        <v>160.25</v>
      </c>
      <c r="H204" s="56" t="b">
        <v>1</v>
      </c>
      <c r="I204" s="56" t="b">
        <v>0</v>
      </c>
      <c r="J204" s="56" t="b">
        <v>0</v>
      </c>
      <c r="K204" s="56" t="b">
        <v>0</v>
      </c>
      <c r="L204" s="57" t="s">
        <v>16</v>
      </c>
    </row>
    <row r="205" ht="15.75" customHeight="1">
      <c r="A205" s="47">
        <v>46227.74166666667</v>
      </c>
      <c r="B205" s="54" t="s">
        <v>17</v>
      </c>
      <c r="C205" s="54" t="s">
        <v>172</v>
      </c>
      <c r="D205" s="55">
        <v>9.489961141E9</v>
      </c>
      <c r="E205" s="55">
        <v>6.967314692E9</v>
      </c>
      <c r="F205" s="55">
        <v>-21.0</v>
      </c>
      <c r="G205" s="55">
        <v>139.25</v>
      </c>
      <c r="H205" s="56" t="b">
        <v>1</v>
      </c>
      <c r="I205" s="56" t="b">
        <v>0</v>
      </c>
      <c r="J205" s="56" t="b">
        <v>0</v>
      </c>
      <c r="K205" s="56" t="b">
        <v>0</v>
      </c>
      <c r="L205" s="57" t="s">
        <v>15</v>
      </c>
    </row>
    <row r="206" ht="15.75" customHeight="1">
      <c r="A206" s="47">
        <v>46227.98333333333</v>
      </c>
      <c r="B206" s="54" t="s">
        <v>17</v>
      </c>
      <c r="C206" s="54" t="s">
        <v>173</v>
      </c>
      <c r="D206" s="55">
        <v>9.491444873E9</v>
      </c>
      <c r="E206" s="55">
        <v>6.968352772E9</v>
      </c>
      <c r="F206" s="55">
        <v>-20.0</v>
      </c>
      <c r="G206" s="55">
        <v>119.25</v>
      </c>
      <c r="H206" s="56" t="b">
        <v>1</v>
      </c>
      <c r="I206" s="56" t="b">
        <v>0</v>
      </c>
      <c r="J206" s="56" t="b">
        <v>0</v>
      </c>
      <c r="K206" s="56" t="b">
        <v>0</v>
      </c>
      <c r="L206" s="57" t="s">
        <v>14</v>
      </c>
    </row>
    <row r="207" ht="15.75" customHeight="1">
      <c r="A207" s="47">
        <v>46228.51597222222</v>
      </c>
      <c r="B207" s="54" t="s">
        <v>17</v>
      </c>
      <c r="C207" s="54" t="s">
        <v>174</v>
      </c>
      <c r="D207" s="55">
        <v>9.492872725E9</v>
      </c>
      <c r="E207" s="55">
        <v>6.96945767E9</v>
      </c>
      <c r="F207" s="55">
        <v>0.0</v>
      </c>
      <c r="G207" s="55">
        <v>119.25</v>
      </c>
      <c r="H207" s="56" t="b">
        <v>1</v>
      </c>
      <c r="I207" s="56" t="b">
        <v>0</v>
      </c>
      <c r="J207" s="56" t="b">
        <v>0</v>
      </c>
      <c r="K207" s="56" t="b">
        <v>0</v>
      </c>
      <c r="L207" s="57" t="s">
        <v>16</v>
      </c>
    </row>
    <row r="208" ht="15.75" customHeight="1">
      <c r="A208" s="47">
        <v>46228.57013888889</v>
      </c>
      <c r="B208" s="54" t="s">
        <v>37</v>
      </c>
      <c r="C208" s="54" t="s">
        <v>173</v>
      </c>
      <c r="D208" s="55">
        <v>9.493782098E9</v>
      </c>
      <c r="E208" s="55">
        <v>6.968352772E9</v>
      </c>
      <c r="F208" s="55">
        <v>20.0</v>
      </c>
      <c r="G208" s="55">
        <v>139.25</v>
      </c>
      <c r="H208" s="56" t="b">
        <v>1</v>
      </c>
      <c r="I208" s="56" t="b">
        <v>0</v>
      </c>
      <c r="J208" s="56" t="b">
        <v>0</v>
      </c>
      <c r="K208" s="56" t="b">
        <v>0</v>
      </c>
      <c r="L208" s="57" t="s">
        <v>14</v>
      </c>
    </row>
    <row r="209" ht="15.75" customHeight="1">
      <c r="A209" s="47">
        <v>46228.5875</v>
      </c>
      <c r="B209" s="54" t="s">
        <v>17</v>
      </c>
      <c r="C209" s="54" t="s">
        <v>175</v>
      </c>
      <c r="D209" s="55">
        <v>9.494112925E9</v>
      </c>
      <c r="E209" s="55">
        <v>6.970362218E9</v>
      </c>
      <c r="F209" s="55">
        <v>-20.0</v>
      </c>
      <c r="G209" s="55">
        <v>119.25</v>
      </c>
      <c r="H209" s="56" t="b">
        <v>1</v>
      </c>
      <c r="I209" s="56" t="b">
        <v>0</v>
      </c>
      <c r="J209" s="56" t="b">
        <v>0</v>
      </c>
      <c r="K209" s="56" t="b">
        <v>0</v>
      </c>
      <c r="L209" s="57" t="s">
        <v>14</v>
      </c>
    </row>
    <row r="210" ht="15.75" customHeight="1">
      <c r="A210" s="47">
        <v>46228.59652777778</v>
      </c>
      <c r="B210" s="54" t="s">
        <v>17</v>
      </c>
      <c r="C210" s="54" t="s">
        <v>176</v>
      </c>
      <c r="D210" s="55">
        <v>9.494264737E9</v>
      </c>
      <c r="E210" s="55">
        <v>6.970484079E9</v>
      </c>
      <c r="F210" s="55">
        <v>-16.0</v>
      </c>
      <c r="G210" s="55">
        <v>103.25</v>
      </c>
      <c r="H210" s="56" t="b">
        <v>1</v>
      </c>
      <c r="I210" s="56" t="b">
        <v>0</v>
      </c>
      <c r="J210" s="56" t="b">
        <v>0</v>
      </c>
      <c r="K210" s="56" t="b">
        <v>0</v>
      </c>
      <c r="L210" s="57" t="s">
        <v>16</v>
      </c>
    </row>
    <row r="211" ht="15.75" customHeight="1">
      <c r="A211" s="47">
        <v>46228.92013888889</v>
      </c>
      <c r="B211" s="54" t="s">
        <v>41</v>
      </c>
      <c r="C211" s="54" t="s">
        <v>176</v>
      </c>
      <c r="D211" s="55">
        <v>9.497839665E9</v>
      </c>
      <c r="E211" s="55">
        <v>6.970484079E9</v>
      </c>
      <c r="F211" s="55">
        <v>32.0</v>
      </c>
      <c r="G211" s="55">
        <v>135.25</v>
      </c>
      <c r="H211" s="56" t="b">
        <v>1</v>
      </c>
      <c r="I211" s="56" t="b">
        <v>0</v>
      </c>
      <c r="J211" s="56" t="b">
        <v>0</v>
      </c>
      <c r="K211" s="56" t="b">
        <v>0</v>
      </c>
      <c r="L211" s="57" t="s">
        <v>16</v>
      </c>
    </row>
    <row r="212" ht="15.75" customHeight="1">
      <c r="A212" s="47">
        <v>46229.47638888889</v>
      </c>
      <c r="B212" s="54" t="s">
        <v>17</v>
      </c>
      <c r="C212" s="54" t="s">
        <v>177</v>
      </c>
      <c r="D212" s="55">
        <v>9.498578903E9</v>
      </c>
      <c r="E212" s="55">
        <v>6.973610724E9</v>
      </c>
      <c r="F212" s="55">
        <v>-20.0</v>
      </c>
      <c r="G212" s="55">
        <v>115.25</v>
      </c>
      <c r="H212" s="56" t="b">
        <v>1</v>
      </c>
      <c r="I212" s="56" t="b">
        <v>0</v>
      </c>
      <c r="J212" s="56" t="b">
        <v>0</v>
      </c>
      <c r="K212" s="56" t="b">
        <v>0</v>
      </c>
      <c r="L212" s="57" t="s">
        <v>15</v>
      </c>
    </row>
    <row r="213" ht="15.75" customHeight="1">
      <c r="A213" s="47">
        <v>46232.91111111111</v>
      </c>
      <c r="B213" s="54" t="s">
        <v>17</v>
      </c>
      <c r="C213" s="54" t="s">
        <v>178</v>
      </c>
      <c r="D213" s="55">
        <v>9.505686156E9</v>
      </c>
      <c r="E213" s="55">
        <v>6.978657087E9</v>
      </c>
      <c r="F213" s="55">
        <v>-13.0</v>
      </c>
      <c r="G213" s="55">
        <v>102.25</v>
      </c>
      <c r="H213" s="56" t="b">
        <v>1</v>
      </c>
      <c r="I213" s="56" t="b">
        <v>0</v>
      </c>
      <c r="J213" s="56" t="b">
        <v>0</v>
      </c>
      <c r="K213" s="56" t="b">
        <v>0</v>
      </c>
      <c r="L213" s="57" t="s">
        <v>14</v>
      </c>
    </row>
    <row r="214" ht="15.75" customHeight="1">
      <c r="A214" s="47">
        <v>46233.84097222222</v>
      </c>
      <c r="B214" s="54" t="s">
        <v>17</v>
      </c>
      <c r="C214" s="54" t="s">
        <v>179</v>
      </c>
      <c r="D214" s="55">
        <v>9.50806364E9</v>
      </c>
      <c r="E214" s="55">
        <v>6.980364905E9</v>
      </c>
      <c r="F214" s="55">
        <v>-11.0</v>
      </c>
      <c r="G214" s="55">
        <v>91.25</v>
      </c>
      <c r="H214" s="56" t="b">
        <v>1</v>
      </c>
      <c r="I214" s="56" t="b">
        <v>0</v>
      </c>
      <c r="J214" s="56" t="b">
        <v>0</v>
      </c>
      <c r="K214" s="56" t="b">
        <v>0</v>
      </c>
      <c r="L214" s="57" t="s">
        <v>16</v>
      </c>
    </row>
    <row r="215" ht="15.75" customHeight="1">
      <c r="A215" s="47">
        <v>46233.916666666664</v>
      </c>
      <c r="B215" s="54" t="s">
        <v>41</v>
      </c>
      <c r="C215" s="54" t="s">
        <v>178</v>
      </c>
      <c r="D215" s="55">
        <v>9.508407407E9</v>
      </c>
      <c r="E215" s="55">
        <v>6.978657087E9</v>
      </c>
      <c r="F215" s="55">
        <v>30.55</v>
      </c>
      <c r="G215" s="55">
        <v>121.8</v>
      </c>
      <c r="H215" s="56" t="b">
        <v>1</v>
      </c>
      <c r="I215" s="56" t="b">
        <v>0</v>
      </c>
      <c r="J215" s="56" t="b">
        <v>0</v>
      </c>
      <c r="K215" s="56" t="b">
        <v>0</v>
      </c>
      <c r="L215" s="57" t="s">
        <v>14</v>
      </c>
    </row>
    <row r="216" ht="15.75" customHeight="1">
      <c r="A216" s="47">
        <v>46233.92152777778</v>
      </c>
      <c r="B216" s="54" t="s">
        <v>17</v>
      </c>
      <c r="C216" s="54" t="s">
        <v>180</v>
      </c>
      <c r="D216" s="55">
        <v>9.50843164E9</v>
      </c>
      <c r="E216" s="55">
        <v>6.980582392E9</v>
      </c>
      <c r="F216" s="55">
        <v>-10.0</v>
      </c>
      <c r="G216" s="55">
        <v>111.8</v>
      </c>
      <c r="H216" s="56" t="b">
        <v>1</v>
      </c>
      <c r="I216" s="56" t="b">
        <v>0</v>
      </c>
      <c r="J216" s="56" t="b">
        <v>0</v>
      </c>
      <c r="K216" s="56" t="b">
        <v>0</v>
      </c>
      <c r="L216" s="57" t="s">
        <v>14</v>
      </c>
    </row>
    <row r="217" ht="15.75" customHeight="1">
      <c r="A217" s="47">
        <v>46234.790972222225</v>
      </c>
      <c r="B217" s="54" t="s">
        <v>17</v>
      </c>
      <c r="C217" s="54" t="s">
        <v>181</v>
      </c>
      <c r="D217" s="55">
        <v>9.510831777E9</v>
      </c>
      <c r="E217" s="55">
        <v>6.982341944E9</v>
      </c>
      <c r="F217" s="55">
        <v>-23.0</v>
      </c>
      <c r="G217" s="55">
        <v>88.8</v>
      </c>
      <c r="H217" s="56" t="b">
        <v>1</v>
      </c>
      <c r="I217" s="56" t="b">
        <v>0</v>
      </c>
      <c r="J217" s="56" t="b">
        <v>0</v>
      </c>
      <c r="K217" s="56" t="b">
        <v>0</v>
      </c>
      <c r="L217" s="57" t="s">
        <v>15</v>
      </c>
    </row>
    <row r="218" ht="15.75" customHeight="1">
      <c r="A218" s="47">
        <v>46235.73472222222</v>
      </c>
      <c r="B218" s="54" t="s">
        <v>17</v>
      </c>
      <c r="C218" s="54" t="s">
        <v>182</v>
      </c>
      <c r="D218" s="55">
        <v>9.516910813E9</v>
      </c>
      <c r="E218" s="55">
        <v>6.986852754E9</v>
      </c>
      <c r="F218" s="55">
        <v>0.0</v>
      </c>
      <c r="G218" s="55">
        <v>88.8</v>
      </c>
      <c r="H218" s="56" t="b">
        <v>1</v>
      </c>
      <c r="I218" s="56" t="b">
        <v>0</v>
      </c>
      <c r="J218" s="56" t="b">
        <v>0</v>
      </c>
      <c r="K218" s="56" t="b">
        <v>0</v>
      </c>
      <c r="L218" s="57" t="s">
        <v>15</v>
      </c>
    </row>
    <row r="219" ht="15.75" customHeight="1">
      <c r="A219" s="47">
        <v>46235.938888888886</v>
      </c>
      <c r="B219" s="54" t="s">
        <v>17</v>
      </c>
      <c r="C219" s="54" t="s">
        <v>183</v>
      </c>
      <c r="D219" s="55">
        <v>9.518104633E9</v>
      </c>
      <c r="E219" s="55">
        <v>6.987691542E9</v>
      </c>
      <c r="F219" s="55">
        <v>-12.0</v>
      </c>
      <c r="G219" s="55">
        <v>76.8</v>
      </c>
      <c r="H219" s="56" t="b">
        <v>1</v>
      </c>
      <c r="I219" s="56" t="b">
        <v>0</v>
      </c>
      <c r="J219" s="56" t="b">
        <v>0</v>
      </c>
      <c r="K219" s="56" t="b">
        <v>0</v>
      </c>
      <c r="L219" s="57" t="s">
        <v>16</v>
      </c>
    </row>
    <row r="220" ht="15.75" customHeight="1">
      <c r="A220" s="1"/>
    </row>
    <row r="221" ht="15.75" customHeight="1">
      <c r="A221" s="1"/>
    </row>
    <row r="222" ht="15.75" customHeight="1">
      <c r="A222" s="1"/>
    </row>
    <row r="223" ht="15.75" customHeight="1">
      <c r="A223" s="1"/>
    </row>
    <row r="224" ht="15.75" customHeight="1">
      <c r="A224" s="1"/>
    </row>
    <row r="225" ht="15.75" customHeight="1">
      <c r="A225" s="1"/>
    </row>
    <row r="226" ht="15.75" customHeight="1">
      <c r="A226" s="1"/>
    </row>
    <row r="227" ht="15.75" customHeight="1">
      <c r="A227" s="1"/>
    </row>
    <row r="228" ht="15.75" customHeight="1">
      <c r="A228" s="1"/>
    </row>
    <row r="229" ht="15.75" customHeight="1">
      <c r="A229" s="1"/>
    </row>
    <row r="230" ht="15.75" customHeight="1">
      <c r="A230" s="1"/>
    </row>
    <row r="231" ht="15.75" customHeight="1">
      <c r="A231" s="1"/>
    </row>
    <row r="232" ht="15.75" customHeight="1">
      <c r="A232" s="1"/>
    </row>
    <row r="233" ht="15.75" customHeight="1">
      <c r="A233" s="1"/>
    </row>
    <row r="234" ht="15.75" customHeight="1">
      <c r="A234" s="1"/>
    </row>
    <row r="235" ht="15.75" customHeight="1">
      <c r="A235" s="1"/>
    </row>
    <row r="236" ht="15.75" customHeight="1">
      <c r="A236" s="1"/>
    </row>
    <row r="237" ht="15.75" customHeight="1">
      <c r="A237" s="1"/>
    </row>
    <row r="238" ht="15.75" customHeight="1">
      <c r="A238" s="1"/>
    </row>
    <row r="239" ht="15.75" customHeight="1">
      <c r="A239" s="1"/>
    </row>
    <row r="240" ht="15.75" customHeight="1">
      <c r="A240" s="1"/>
    </row>
    <row r="241" ht="15.75" customHeight="1">
      <c r="A241" s="1"/>
    </row>
    <row r="242" ht="15.75" customHeight="1">
      <c r="A242" s="1"/>
    </row>
    <row r="243" ht="15.75" customHeight="1">
      <c r="A243" s="1"/>
    </row>
    <row r="244" ht="15.75" customHeight="1">
      <c r="A244" s="1"/>
    </row>
    <row r="245" ht="15.75" customHeight="1">
      <c r="A245" s="1"/>
    </row>
    <row r="246" ht="15.75" customHeight="1">
      <c r="A246" s="1"/>
    </row>
    <row r="247" ht="15.75" customHeight="1">
      <c r="A247" s="1"/>
    </row>
    <row r="248" ht="15.75" customHeight="1">
      <c r="A248" s="1"/>
    </row>
    <row r="249" ht="15.75" customHeight="1">
      <c r="A249" s="1"/>
    </row>
    <row r="250" ht="15.75" customHeight="1">
      <c r="A250" s="1"/>
    </row>
    <row r="251" ht="15.75" customHeight="1">
      <c r="A251" s="1"/>
    </row>
    <row r="252" ht="15.75" customHeight="1">
      <c r="A252" s="1"/>
    </row>
    <row r="253" ht="15.75" customHeight="1">
      <c r="A253" s="1"/>
    </row>
    <row r="254" ht="15.75" customHeight="1">
      <c r="A254" s="1"/>
    </row>
    <row r="255" ht="15.75" customHeight="1">
      <c r="A255" s="1"/>
    </row>
    <row r="256" ht="15.75" customHeight="1">
      <c r="A256" s="1"/>
    </row>
    <row r="257" ht="15.75" customHeight="1">
      <c r="A257" s="1"/>
    </row>
    <row r="258" ht="15.75" customHeight="1">
      <c r="A258" s="1"/>
    </row>
    <row r="259" ht="15.75" customHeight="1">
      <c r="A259" s="1"/>
    </row>
    <row r="260" ht="15.75" customHeight="1">
      <c r="A260" s="1"/>
    </row>
    <row r="261" ht="15.75" customHeight="1">
      <c r="A261" s="1"/>
    </row>
    <row r="262" ht="15.75" customHeight="1">
      <c r="A262" s="1"/>
    </row>
    <row r="263" ht="15.75" customHeight="1">
      <c r="A263" s="1"/>
    </row>
    <row r="264" ht="15.75" customHeight="1">
      <c r="A264" s="1"/>
    </row>
    <row r="265" ht="15.75" customHeight="1">
      <c r="A265" s="1"/>
    </row>
    <row r="266" ht="15.75" customHeight="1">
      <c r="A266" s="1"/>
    </row>
    <row r="267" ht="15.75" customHeight="1">
      <c r="A267" s="1"/>
    </row>
    <row r="268" ht="15.75" customHeight="1">
      <c r="A268" s="1"/>
    </row>
    <row r="269" ht="15.75" customHeight="1">
      <c r="A269" s="1"/>
    </row>
    <row r="270" ht="15.75" customHeight="1">
      <c r="A270" s="1"/>
    </row>
    <row r="271" ht="15.75" customHeight="1">
      <c r="A271" s="1"/>
    </row>
    <row r="272" ht="15.75" customHeight="1">
      <c r="A272" s="1"/>
    </row>
    <row r="273" ht="15.75" customHeight="1">
      <c r="A273" s="1"/>
    </row>
    <row r="274" ht="15.75" customHeight="1">
      <c r="A274" s="1"/>
    </row>
    <row r="275" ht="15.75" customHeight="1">
      <c r="A275" s="1"/>
    </row>
    <row r="276" ht="15.75" customHeight="1">
      <c r="A276" s="1"/>
    </row>
    <row r="277" ht="15.75" customHeight="1">
      <c r="A277" s="1"/>
    </row>
    <row r="278" ht="15.75" customHeight="1">
      <c r="A278" s="1"/>
    </row>
    <row r="279" ht="15.75" customHeight="1">
      <c r="A279" s="1"/>
    </row>
    <row r="280" ht="15.75" customHeight="1">
      <c r="A280" s="1"/>
    </row>
    <row r="281" ht="15.75" customHeight="1">
      <c r="A281" s="1"/>
    </row>
    <row r="282" ht="15.75" customHeight="1">
      <c r="A282" s="1"/>
    </row>
    <row r="283" ht="15.75" customHeight="1">
      <c r="A283" s="1"/>
    </row>
    <row r="284" ht="15.75" customHeight="1">
      <c r="A284" s="1"/>
    </row>
    <row r="285" ht="15.75" customHeight="1">
      <c r="A285" s="1"/>
    </row>
    <row r="286" ht="15.75" customHeight="1">
      <c r="A286" s="1"/>
    </row>
    <row r="287" ht="15.75" customHeight="1">
      <c r="A287" s="1"/>
    </row>
    <row r="288" ht="15.75" customHeight="1">
      <c r="A288" s="1"/>
    </row>
    <row r="289" ht="15.75" customHeight="1">
      <c r="A289" s="1"/>
    </row>
    <row r="290" ht="15.75" customHeight="1">
      <c r="A290" s="1"/>
    </row>
    <row r="291" ht="15.75" customHeight="1">
      <c r="A291" s="1"/>
    </row>
    <row r="292" ht="15.75" customHeight="1">
      <c r="A292" s="1"/>
    </row>
    <row r="293" ht="15.75" customHeight="1">
      <c r="A293" s="1"/>
    </row>
    <row r="294" ht="15.75" customHeight="1">
      <c r="A294" s="1"/>
    </row>
    <row r="295" ht="15.75" customHeight="1">
      <c r="A295" s="1"/>
    </row>
    <row r="296" ht="15.75" customHeight="1">
      <c r="A296" s="1"/>
    </row>
    <row r="297" ht="15.75" customHeight="1">
      <c r="A297" s="1"/>
    </row>
    <row r="298" ht="15.75" customHeight="1">
      <c r="A298" s="1"/>
    </row>
    <row r="299" ht="15.75" customHeight="1">
      <c r="A299" s="1"/>
    </row>
    <row r="300" ht="15.75" customHeight="1">
      <c r="A300" s="1"/>
    </row>
    <row r="301" ht="15.75" customHeight="1">
      <c r="A301" s="1"/>
    </row>
    <row r="302" ht="15.75" customHeight="1">
      <c r="A302" s="1"/>
    </row>
    <row r="303" ht="15.75" customHeight="1">
      <c r="A303" s="1"/>
    </row>
    <row r="304" ht="15.75" customHeight="1">
      <c r="A304" s="1"/>
    </row>
    <row r="305" ht="15.75" customHeight="1">
      <c r="A305" s="1"/>
    </row>
    <row r="306" ht="15.75" customHeight="1">
      <c r="A306" s="1"/>
    </row>
    <row r="307" ht="15.75" customHeight="1">
      <c r="A307" s="1"/>
    </row>
    <row r="308" ht="15.75" customHeight="1">
      <c r="A308" s="1"/>
    </row>
    <row r="309" ht="15.75" customHeight="1">
      <c r="A309" s="1"/>
    </row>
    <row r="310" ht="15.75" customHeight="1">
      <c r="A310" s="1"/>
    </row>
    <row r="311" ht="15.75" customHeight="1">
      <c r="A311" s="1"/>
    </row>
    <row r="312" ht="15.75" customHeight="1">
      <c r="A312" s="1"/>
    </row>
    <row r="313" ht="15.75" customHeight="1">
      <c r="A313" s="1"/>
    </row>
    <row r="314" ht="15.75" customHeight="1">
      <c r="A314" s="1"/>
    </row>
    <row r="315" ht="15.75" customHeight="1">
      <c r="A315" s="1"/>
    </row>
    <row r="316" ht="15.75" customHeight="1">
      <c r="A316" s="1"/>
    </row>
    <row r="317" ht="15.75" customHeight="1">
      <c r="A317" s="1"/>
    </row>
    <row r="318" ht="15.75" customHeight="1">
      <c r="A318" s="1"/>
    </row>
    <row r="319" ht="15.75" customHeight="1">
      <c r="A319" s="1"/>
    </row>
    <row r="320" ht="15.75" customHeight="1">
      <c r="A320" s="1"/>
    </row>
    <row r="321" ht="15.75" customHeight="1">
      <c r="A321" s="1"/>
    </row>
    <row r="322" ht="15.75" customHeight="1">
      <c r="A322" s="1"/>
    </row>
    <row r="323" ht="15.75" customHeight="1">
      <c r="A323" s="1"/>
    </row>
    <row r="324" ht="15.75" customHeight="1">
      <c r="A324" s="1"/>
    </row>
    <row r="325" ht="15.75" customHeight="1">
      <c r="A325" s="1"/>
    </row>
    <row r="326" ht="15.75" customHeight="1">
      <c r="A326" s="1"/>
    </row>
    <row r="327" ht="15.75" customHeight="1">
      <c r="A327" s="1"/>
    </row>
    <row r="328" ht="15.75" customHeight="1">
      <c r="A328" s="1"/>
    </row>
    <row r="329" ht="15.75" customHeight="1">
      <c r="A329" s="1"/>
    </row>
    <row r="330" ht="15.75" customHeight="1">
      <c r="A330" s="1"/>
    </row>
    <row r="331" ht="15.75" customHeight="1">
      <c r="A331" s="1"/>
    </row>
    <row r="332" ht="15.75" customHeight="1">
      <c r="A332" s="1"/>
    </row>
    <row r="333" ht="15.75" customHeight="1">
      <c r="A333" s="1"/>
    </row>
    <row r="334" ht="15.75" customHeight="1">
      <c r="A334" s="1"/>
    </row>
    <row r="335" ht="15.75" customHeight="1">
      <c r="A335" s="1"/>
    </row>
    <row r="336" ht="15.75" customHeight="1">
      <c r="A336" s="1"/>
    </row>
    <row r="337" ht="15.75" customHeight="1">
      <c r="A337" s="1"/>
    </row>
    <row r="338" ht="15.75" customHeight="1">
      <c r="A338" s="1"/>
    </row>
    <row r="339" ht="15.75" customHeight="1">
      <c r="A339" s="1"/>
    </row>
    <row r="340" ht="15.75" customHeight="1">
      <c r="A340" s="1"/>
    </row>
    <row r="341" ht="15.75" customHeight="1">
      <c r="A341" s="1"/>
    </row>
    <row r="342" ht="15.75" customHeight="1">
      <c r="A342" s="1"/>
    </row>
    <row r="343" ht="15.75" customHeight="1">
      <c r="A343" s="1"/>
    </row>
    <row r="344" ht="15.75" customHeight="1">
      <c r="A344" s="1"/>
    </row>
    <row r="345" ht="15.75" customHeight="1">
      <c r="A345" s="1"/>
    </row>
    <row r="346" ht="15.75" customHeight="1">
      <c r="A346" s="1"/>
    </row>
    <row r="347" ht="15.75" customHeight="1">
      <c r="A347" s="1"/>
    </row>
    <row r="348" ht="15.75" customHeight="1">
      <c r="A348" s="1"/>
    </row>
    <row r="349" ht="15.75" customHeight="1">
      <c r="A349" s="1"/>
    </row>
    <row r="350" ht="15.75" customHeight="1">
      <c r="A350" s="1"/>
    </row>
    <row r="351" ht="15.75" customHeight="1">
      <c r="A351" s="1"/>
    </row>
    <row r="352" ht="15.75" customHeight="1">
      <c r="A352" s="1"/>
    </row>
    <row r="353" ht="15.75" customHeight="1">
      <c r="A353" s="1"/>
    </row>
    <row r="354" ht="15.75" customHeight="1">
      <c r="A354" s="1"/>
    </row>
    <row r="355" ht="15.75" customHeight="1">
      <c r="A355" s="1"/>
    </row>
    <row r="356" ht="15.75" customHeight="1">
      <c r="A356" s="1"/>
    </row>
    <row r="357" ht="15.75" customHeight="1">
      <c r="A357" s="1"/>
    </row>
    <row r="358" ht="15.75" customHeight="1">
      <c r="A358" s="1"/>
    </row>
    <row r="359" ht="15.75" customHeight="1">
      <c r="A359" s="1"/>
    </row>
    <row r="360" ht="15.75" customHeight="1">
      <c r="A360" s="1"/>
    </row>
    <row r="361" ht="15.75" customHeight="1">
      <c r="A361" s="1"/>
    </row>
    <row r="362" ht="15.75" customHeight="1">
      <c r="A362" s="1"/>
    </row>
    <row r="363" ht="15.75" customHeight="1">
      <c r="A363" s="1"/>
    </row>
    <row r="364" ht="15.75" customHeight="1">
      <c r="A364" s="1"/>
    </row>
    <row r="365" ht="15.75" customHeight="1">
      <c r="A365" s="1"/>
    </row>
    <row r="366" ht="15.75" customHeight="1">
      <c r="A366" s="1"/>
    </row>
    <row r="367" ht="15.75" customHeight="1">
      <c r="A367" s="1"/>
    </row>
    <row r="368" ht="15.75" customHeight="1">
      <c r="A368" s="1"/>
    </row>
    <row r="369" ht="15.75" customHeight="1">
      <c r="A369" s="1"/>
    </row>
    <row r="370" ht="15.75" customHeight="1">
      <c r="A370" s="1"/>
    </row>
    <row r="371" ht="15.75" customHeight="1">
      <c r="A371" s="1"/>
    </row>
    <row r="372" ht="15.75" customHeight="1">
      <c r="A372" s="1"/>
    </row>
    <row r="373" ht="15.75" customHeight="1">
      <c r="A373" s="1"/>
    </row>
    <row r="374" ht="15.75" customHeight="1">
      <c r="A374" s="1"/>
    </row>
    <row r="375" ht="15.75" customHeight="1">
      <c r="A375" s="1"/>
    </row>
    <row r="376" ht="15.75" customHeight="1">
      <c r="A376" s="59"/>
    </row>
    <row r="377" ht="15.75" customHeight="1">
      <c r="A377" s="59"/>
    </row>
    <row r="378" ht="15.75" customHeight="1">
      <c r="A378" s="59"/>
    </row>
    <row r="379" ht="15.75" customHeight="1">
      <c r="A379" s="59"/>
    </row>
    <row r="380" ht="15.75" customHeight="1">
      <c r="A380" s="59"/>
    </row>
    <row r="381" ht="15.75" customHeight="1">
      <c r="A381" s="59"/>
    </row>
    <row r="382" ht="15.75" customHeight="1">
      <c r="A382" s="59"/>
    </row>
    <row r="383" ht="15.75" customHeight="1">
      <c r="A383" s="59"/>
    </row>
    <row r="384" ht="15.75" customHeight="1">
      <c r="A384" s="59"/>
    </row>
    <row r="385" ht="15.75" customHeight="1">
      <c r="A385" s="59"/>
    </row>
    <row r="386" ht="15.75" customHeight="1">
      <c r="A386" s="59"/>
    </row>
    <row r="387" ht="15.75" customHeight="1">
      <c r="A387" s="59"/>
    </row>
    <row r="388" ht="15.75" customHeight="1">
      <c r="A388" s="59"/>
    </row>
    <row r="389" ht="15.75" customHeight="1">
      <c r="A389" s="59"/>
    </row>
    <row r="390" ht="15.75" customHeight="1">
      <c r="A390" s="59"/>
    </row>
    <row r="391" ht="15.75" customHeight="1">
      <c r="A391" s="59"/>
    </row>
    <row r="392" ht="15.75" customHeight="1">
      <c r="A392" s="59"/>
    </row>
    <row r="393" ht="15.75" customHeight="1">
      <c r="A393" s="59"/>
    </row>
    <row r="394" ht="15.75" customHeight="1">
      <c r="A394" s="59"/>
    </row>
    <row r="395" ht="15.75" customHeight="1">
      <c r="A395" s="59"/>
    </row>
    <row r="396" ht="15.75" customHeight="1">
      <c r="A396" s="59"/>
    </row>
    <row r="397" ht="15.75" customHeight="1">
      <c r="A397" s="59"/>
    </row>
    <row r="398" ht="15.75" customHeight="1">
      <c r="A398" s="59"/>
    </row>
    <row r="399" ht="15.75" customHeight="1">
      <c r="A399" s="59"/>
    </row>
    <row r="400" ht="15.75" customHeight="1">
      <c r="A400" s="59"/>
    </row>
    <row r="401" ht="15.75" customHeight="1">
      <c r="A401" s="59"/>
    </row>
    <row r="402" ht="15.75" customHeight="1">
      <c r="A402" s="59"/>
    </row>
    <row r="403" ht="15.75" customHeight="1">
      <c r="A403" s="59"/>
    </row>
    <row r="404" ht="15.75" customHeight="1">
      <c r="A404" s="59"/>
    </row>
    <row r="405" ht="15.75" customHeight="1">
      <c r="A405" s="59"/>
    </row>
    <row r="406" ht="15.75" customHeight="1">
      <c r="A406" s="59"/>
    </row>
    <row r="407" ht="15.75" customHeight="1">
      <c r="A407" s="59"/>
    </row>
    <row r="408" ht="15.75" customHeight="1">
      <c r="A408" s="59"/>
    </row>
    <row r="409" ht="15.75" customHeight="1">
      <c r="A409" s="59"/>
    </row>
    <row r="410" ht="15.75" customHeight="1">
      <c r="A410" s="59"/>
    </row>
    <row r="411" ht="15.75" customHeight="1">
      <c r="A411" s="59"/>
    </row>
    <row r="412" ht="15.75" customHeight="1">
      <c r="A412" s="59"/>
    </row>
    <row r="413" ht="15.75" customHeight="1">
      <c r="A413" s="59"/>
    </row>
    <row r="414" ht="15.75" customHeight="1">
      <c r="A414" s="59"/>
    </row>
    <row r="415" ht="15.75" customHeight="1">
      <c r="A415" s="59"/>
    </row>
    <row r="416" ht="15.75" customHeight="1">
      <c r="A416" s="59"/>
    </row>
    <row r="417" ht="15.75" customHeight="1">
      <c r="A417" s="59"/>
    </row>
    <row r="418" ht="15.75" customHeight="1">
      <c r="A418" s="59"/>
    </row>
    <row r="419" ht="15.75" customHeight="1">
      <c r="A419" s="59"/>
    </row>
    <row r="420" ht="15.75" customHeight="1">
      <c r="A420" s="59"/>
    </row>
    <row r="421" ht="15.75" customHeight="1">
      <c r="A421" s="59"/>
    </row>
    <row r="422" ht="15.75" customHeight="1">
      <c r="A422" s="59"/>
    </row>
    <row r="423" ht="15.75" customHeight="1">
      <c r="A423" s="59"/>
    </row>
    <row r="424" ht="15.75" customHeight="1">
      <c r="A424" s="59"/>
    </row>
    <row r="425" ht="15.75" customHeight="1">
      <c r="A425" s="59"/>
    </row>
    <row r="426" ht="15.75" customHeight="1">
      <c r="A426" s="59"/>
    </row>
    <row r="427" ht="15.75" customHeight="1">
      <c r="A427" s="59"/>
    </row>
    <row r="428" ht="15.75" customHeight="1">
      <c r="A428" s="59"/>
    </row>
    <row r="429" ht="15.75" customHeight="1">
      <c r="A429" s="59"/>
    </row>
    <row r="430" ht="15.75" customHeight="1">
      <c r="A430" s="59"/>
    </row>
    <row r="431" ht="15.75" customHeight="1">
      <c r="A431" s="59"/>
    </row>
    <row r="432" ht="15.75" customHeight="1">
      <c r="A432" s="59"/>
    </row>
    <row r="433" ht="15.75" customHeight="1">
      <c r="A433" s="59"/>
    </row>
    <row r="434" ht="15.75" customHeight="1">
      <c r="A434" s="59"/>
    </row>
    <row r="435" ht="15.75" customHeight="1">
      <c r="A435" s="59"/>
    </row>
    <row r="436" ht="15.75" customHeight="1">
      <c r="A436" s="59"/>
    </row>
    <row r="437" ht="15.75" customHeight="1">
      <c r="A437" s="59"/>
    </row>
    <row r="438" ht="15.75" customHeight="1">
      <c r="A438" s="59"/>
    </row>
    <row r="439" ht="15.75" customHeight="1">
      <c r="A439" s="59"/>
    </row>
    <row r="440" ht="15.75" customHeight="1">
      <c r="A440" s="59"/>
    </row>
    <row r="441" ht="15.75" customHeight="1">
      <c r="A441" s="59"/>
    </row>
    <row r="442" ht="15.75" customHeight="1">
      <c r="A442" s="59"/>
    </row>
    <row r="443" ht="15.75" customHeight="1">
      <c r="A443" s="59"/>
    </row>
    <row r="444" ht="15.75" customHeight="1">
      <c r="A444" s="59"/>
    </row>
    <row r="445" ht="15.75" customHeight="1">
      <c r="A445" s="59"/>
    </row>
    <row r="446" ht="15.75" customHeight="1">
      <c r="A446" s="59"/>
    </row>
    <row r="447" ht="15.75" customHeight="1">
      <c r="A447" s="59"/>
    </row>
    <row r="448" ht="15.75" customHeight="1">
      <c r="A448" s="59"/>
    </row>
    <row r="449" ht="15.75" customHeight="1">
      <c r="A449" s="59"/>
    </row>
    <row r="450" ht="15.75" customHeight="1">
      <c r="A450" s="59"/>
    </row>
    <row r="451" ht="15.75" customHeight="1">
      <c r="A451" s="59"/>
    </row>
    <row r="452" ht="15.75" customHeight="1">
      <c r="A452" s="59"/>
    </row>
    <row r="453" ht="15.75" customHeight="1">
      <c r="A453" s="59"/>
    </row>
    <row r="454" ht="15.75" customHeight="1">
      <c r="A454" s="59"/>
    </row>
    <row r="455" ht="15.75" customHeight="1">
      <c r="A455" s="59"/>
    </row>
    <row r="456" ht="15.75" customHeight="1">
      <c r="A456" s="59"/>
    </row>
    <row r="457" ht="15.75" customHeight="1">
      <c r="A457" s="59"/>
    </row>
    <row r="458" ht="15.75" customHeight="1">
      <c r="A458" s="59"/>
    </row>
    <row r="459" ht="15.75" customHeight="1">
      <c r="A459" s="59"/>
    </row>
    <row r="460" ht="15.75" customHeight="1">
      <c r="A460" s="59"/>
    </row>
    <row r="461" ht="15.75" customHeight="1">
      <c r="A461" s="59"/>
    </row>
    <row r="462" ht="15.75" customHeight="1">
      <c r="A462" s="59"/>
    </row>
    <row r="463" ht="15.75" customHeight="1">
      <c r="A463" s="59"/>
    </row>
    <row r="464" ht="15.75" customHeight="1">
      <c r="A464" s="59"/>
    </row>
    <row r="465" ht="15.75" customHeight="1">
      <c r="A465" s="59"/>
    </row>
    <row r="466" ht="15.75" customHeight="1">
      <c r="A466" s="59"/>
    </row>
    <row r="467" ht="15.75" customHeight="1">
      <c r="A467" s="59"/>
    </row>
    <row r="468" ht="15.75" customHeight="1">
      <c r="A468" s="59"/>
    </row>
    <row r="469" ht="15.75" customHeight="1">
      <c r="A469" s="59"/>
    </row>
    <row r="470" ht="15.75" customHeight="1">
      <c r="A470" s="59"/>
    </row>
    <row r="471" ht="15.75" customHeight="1">
      <c r="A471" s="59"/>
    </row>
    <row r="472" ht="15.75" customHeight="1">
      <c r="A472" s="59"/>
    </row>
    <row r="473" ht="15.75" customHeight="1">
      <c r="A473" s="59"/>
    </row>
    <row r="474" ht="15.75" customHeight="1">
      <c r="A474" s="59"/>
    </row>
    <row r="475" ht="15.75" customHeight="1">
      <c r="A475" s="59"/>
    </row>
    <row r="476" ht="15.75" customHeight="1">
      <c r="A476" s="59"/>
    </row>
    <row r="477" ht="15.75" customHeight="1">
      <c r="A477" s="59"/>
    </row>
    <row r="478" ht="15.75" customHeight="1">
      <c r="A478" s="59"/>
    </row>
    <row r="479" ht="15.75" customHeight="1">
      <c r="A479" s="59"/>
    </row>
    <row r="480" ht="15.75" customHeight="1">
      <c r="A480" s="59"/>
    </row>
    <row r="481" ht="15.75" customHeight="1">
      <c r="A481" s="59"/>
    </row>
    <row r="482" ht="15.75" customHeight="1">
      <c r="A482" s="59"/>
    </row>
    <row r="483" ht="15.75" customHeight="1">
      <c r="A483" s="59"/>
    </row>
    <row r="484" ht="15.75" customHeight="1">
      <c r="A484" s="59"/>
    </row>
    <row r="485" ht="15.75" customHeight="1">
      <c r="A485" s="59"/>
    </row>
    <row r="486" ht="15.75" customHeight="1">
      <c r="A486" s="59"/>
    </row>
    <row r="487" ht="15.75" customHeight="1">
      <c r="A487" s="59"/>
    </row>
    <row r="488" ht="15.75" customHeight="1">
      <c r="A488" s="59"/>
    </row>
    <row r="489" ht="15.75" customHeight="1">
      <c r="A489" s="59"/>
    </row>
    <row r="490" ht="15.75" customHeight="1">
      <c r="A490" s="59"/>
    </row>
    <row r="491" ht="15.75" customHeight="1">
      <c r="A491" s="59"/>
    </row>
    <row r="492" ht="15.75" customHeight="1">
      <c r="A492" s="59"/>
    </row>
    <row r="493" ht="15.75" customHeight="1">
      <c r="A493" s="59"/>
    </row>
    <row r="494" ht="15.75" customHeight="1">
      <c r="A494" s="59"/>
    </row>
    <row r="495" ht="15.75" customHeight="1">
      <c r="A495" s="59"/>
    </row>
    <row r="496" ht="15.75" customHeight="1">
      <c r="A496" s="59"/>
    </row>
    <row r="497" ht="15.75" customHeight="1">
      <c r="A497" s="59"/>
    </row>
    <row r="498" ht="15.75" customHeight="1">
      <c r="A498" s="59"/>
    </row>
    <row r="499" ht="15.75" customHeight="1">
      <c r="A499" s="59"/>
    </row>
    <row r="500" ht="15.75" customHeight="1">
      <c r="A500" s="59"/>
    </row>
    <row r="501" ht="15.75" customHeight="1">
      <c r="A501" s="59"/>
    </row>
    <row r="502" ht="15.75" customHeight="1">
      <c r="A502" s="59"/>
    </row>
    <row r="503" ht="15.75" customHeight="1">
      <c r="A503" s="59"/>
    </row>
    <row r="504" ht="15.75" customHeight="1">
      <c r="A504" s="59"/>
    </row>
    <row r="505" ht="15.75" customHeight="1">
      <c r="A505" s="59"/>
    </row>
    <row r="506" ht="15.75" customHeight="1">
      <c r="A506" s="59"/>
    </row>
    <row r="507" ht="15.75" customHeight="1">
      <c r="A507" s="59"/>
    </row>
    <row r="508" ht="15.75" customHeight="1">
      <c r="A508" s="59"/>
    </row>
    <row r="509" ht="15.75" customHeight="1">
      <c r="A509" s="59"/>
    </row>
    <row r="510" ht="15.75" customHeight="1">
      <c r="A510" s="59"/>
    </row>
    <row r="511" ht="15.75" customHeight="1">
      <c r="A511" s="59"/>
    </row>
    <row r="512" ht="15.75" customHeight="1">
      <c r="A512" s="59"/>
    </row>
    <row r="513" ht="15.75" customHeight="1">
      <c r="A513" s="59"/>
    </row>
    <row r="514" ht="15.75" customHeight="1">
      <c r="A514" s="59"/>
    </row>
    <row r="515" ht="15.75" customHeight="1">
      <c r="A515" s="59"/>
    </row>
    <row r="516" ht="15.75" customHeight="1">
      <c r="A516" s="59"/>
    </row>
    <row r="517" ht="15.75" customHeight="1">
      <c r="A517" s="59"/>
    </row>
    <row r="518" ht="15.75" customHeight="1">
      <c r="A518" s="59"/>
    </row>
    <row r="519" ht="15.75" customHeight="1">
      <c r="A519" s="59"/>
    </row>
    <row r="520" ht="15.75" customHeight="1">
      <c r="A520" s="59"/>
    </row>
    <row r="521" ht="15.75" customHeight="1">
      <c r="A521" s="59"/>
    </row>
    <row r="522" ht="15.75" customHeight="1">
      <c r="A522" s="59"/>
    </row>
    <row r="523" ht="15.75" customHeight="1">
      <c r="A523" s="59"/>
    </row>
    <row r="524" ht="15.75" customHeight="1">
      <c r="A524" s="59"/>
    </row>
    <row r="525" ht="15.75" customHeight="1">
      <c r="A525" s="59"/>
    </row>
    <row r="526" ht="15.75" customHeight="1">
      <c r="A526" s="59"/>
    </row>
    <row r="527" ht="15.75" customHeight="1">
      <c r="A527" s="59"/>
    </row>
    <row r="528" ht="15.75" customHeight="1">
      <c r="A528" s="59"/>
    </row>
    <row r="529" ht="15.75" customHeight="1">
      <c r="A529" s="59"/>
    </row>
    <row r="530" ht="15.75" customHeight="1">
      <c r="A530" s="59"/>
    </row>
    <row r="531" ht="15.75" customHeight="1">
      <c r="A531" s="59"/>
    </row>
    <row r="532" ht="15.75" customHeight="1">
      <c r="A532" s="59"/>
    </row>
    <row r="533" ht="15.75" customHeight="1">
      <c r="A533" s="59"/>
    </row>
    <row r="534" ht="15.75" customHeight="1">
      <c r="A534" s="59"/>
    </row>
    <row r="535" ht="15.75" customHeight="1">
      <c r="A535" s="59"/>
    </row>
    <row r="536" ht="15.75" customHeight="1">
      <c r="A536" s="59"/>
    </row>
    <row r="537" ht="15.75" customHeight="1">
      <c r="A537" s="59"/>
    </row>
    <row r="538" ht="15.75" customHeight="1">
      <c r="A538" s="59"/>
    </row>
    <row r="539" ht="15.75" customHeight="1">
      <c r="A539" s="59"/>
    </row>
    <row r="540" ht="15.75" customHeight="1">
      <c r="A540" s="59"/>
    </row>
    <row r="541" ht="15.75" customHeight="1">
      <c r="A541" s="59"/>
    </row>
    <row r="542" ht="15.75" customHeight="1">
      <c r="A542" s="59"/>
    </row>
    <row r="543" ht="15.75" customHeight="1">
      <c r="A543" s="59"/>
    </row>
    <row r="544" ht="15.75" customHeight="1">
      <c r="A544" s="59"/>
    </row>
    <row r="545" ht="15.75" customHeight="1">
      <c r="A545" s="59"/>
    </row>
    <row r="546" ht="15.75" customHeight="1">
      <c r="A546" s="59"/>
    </row>
    <row r="547" ht="15.75" customHeight="1">
      <c r="A547" s="59"/>
    </row>
    <row r="548" ht="15.75" customHeight="1">
      <c r="A548" s="59"/>
    </row>
    <row r="549" ht="15.75" customHeight="1">
      <c r="A549" s="59"/>
    </row>
    <row r="550" ht="15.75" customHeight="1">
      <c r="A550" s="59"/>
    </row>
    <row r="551" ht="15.75" customHeight="1">
      <c r="A551" s="59"/>
    </row>
    <row r="552" ht="15.75" customHeight="1">
      <c r="A552" s="59"/>
    </row>
    <row r="553" ht="15.75" customHeight="1">
      <c r="A553" s="59"/>
    </row>
    <row r="554" ht="15.75" customHeight="1">
      <c r="A554" s="59"/>
    </row>
    <row r="555" ht="15.75" customHeight="1">
      <c r="A555" s="59"/>
    </row>
    <row r="556" ht="15.75" customHeight="1">
      <c r="A556" s="59"/>
    </row>
    <row r="557" ht="15.75" customHeight="1">
      <c r="A557" s="59"/>
    </row>
    <row r="558" ht="15.75" customHeight="1">
      <c r="A558" s="59"/>
    </row>
    <row r="559" ht="15.75" customHeight="1">
      <c r="A559" s="59"/>
    </row>
    <row r="560" ht="15.75" customHeight="1">
      <c r="A560" s="59"/>
    </row>
    <row r="561" ht="15.75" customHeight="1">
      <c r="A561" s="59"/>
    </row>
    <row r="562" ht="15.75" customHeight="1">
      <c r="A562" s="59"/>
    </row>
    <row r="563" ht="15.75" customHeight="1">
      <c r="A563" s="59"/>
    </row>
    <row r="564" ht="15.75" customHeight="1">
      <c r="A564" s="59"/>
    </row>
    <row r="565" ht="15.75" customHeight="1">
      <c r="A565" s="59"/>
    </row>
    <row r="566" ht="15.75" customHeight="1">
      <c r="A566" s="59"/>
    </row>
    <row r="567" ht="15.75" customHeight="1">
      <c r="A567" s="59"/>
    </row>
    <row r="568" ht="15.75" customHeight="1">
      <c r="A568" s="59"/>
    </row>
    <row r="569" ht="15.75" customHeight="1">
      <c r="A569" s="59"/>
    </row>
    <row r="570" ht="15.75" customHeight="1">
      <c r="A570" s="59"/>
    </row>
    <row r="571" ht="15.75" customHeight="1">
      <c r="A571" s="59"/>
    </row>
    <row r="572" ht="15.75" customHeight="1">
      <c r="A572" s="59"/>
    </row>
    <row r="573" ht="15.75" customHeight="1">
      <c r="A573" s="59"/>
    </row>
    <row r="574" ht="15.75" customHeight="1">
      <c r="A574" s="59"/>
    </row>
    <row r="575" ht="15.75" customHeight="1">
      <c r="A575" s="59"/>
    </row>
    <row r="576" ht="15.75" customHeight="1">
      <c r="A576" s="59"/>
    </row>
    <row r="577" ht="15.75" customHeight="1">
      <c r="A577" s="59"/>
    </row>
    <row r="578" ht="15.75" customHeight="1">
      <c r="A578" s="59"/>
    </row>
    <row r="579" ht="15.75" customHeight="1">
      <c r="A579" s="59"/>
    </row>
    <row r="580" ht="15.75" customHeight="1">
      <c r="A580" s="59"/>
    </row>
    <row r="581" ht="15.75" customHeight="1">
      <c r="A581" s="59"/>
    </row>
    <row r="582" ht="15.75" customHeight="1">
      <c r="A582" s="59"/>
    </row>
    <row r="583" ht="15.75" customHeight="1">
      <c r="A583" s="59"/>
    </row>
    <row r="584" ht="15.75" customHeight="1">
      <c r="A584" s="59"/>
    </row>
    <row r="585" ht="15.75" customHeight="1">
      <c r="A585" s="59"/>
    </row>
    <row r="586" ht="15.75" customHeight="1">
      <c r="A586" s="59"/>
    </row>
    <row r="587" ht="15.75" customHeight="1">
      <c r="A587" s="59"/>
    </row>
    <row r="588" ht="15.75" customHeight="1">
      <c r="A588" s="59"/>
    </row>
    <row r="589" ht="15.75" customHeight="1">
      <c r="A589" s="59"/>
    </row>
    <row r="590" ht="15.75" customHeight="1">
      <c r="A590" s="59"/>
    </row>
    <row r="591" ht="15.75" customHeight="1">
      <c r="A591" s="59"/>
    </row>
    <row r="592" ht="15.75" customHeight="1">
      <c r="A592" s="59"/>
    </row>
    <row r="593" ht="15.75" customHeight="1">
      <c r="A593" s="59"/>
    </row>
    <row r="594" ht="15.75" customHeight="1">
      <c r="A594" s="59"/>
    </row>
    <row r="595" ht="15.75" customHeight="1">
      <c r="A595" s="59"/>
    </row>
    <row r="596" ht="15.75" customHeight="1">
      <c r="A596" s="59"/>
    </row>
    <row r="597" ht="15.75" customHeight="1">
      <c r="A597" s="59"/>
    </row>
    <row r="598" ht="15.75" customHeight="1">
      <c r="A598" s="59"/>
    </row>
    <row r="599" ht="15.75" customHeight="1">
      <c r="A599" s="59"/>
    </row>
    <row r="600" ht="15.75" customHeight="1">
      <c r="A600" s="59"/>
    </row>
    <row r="601" ht="15.75" customHeight="1">
      <c r="A601" s="59"/>
    </row>
    <row r="602" ht="15.75" customHeight="1">
      <c r="A602" s="59"/>
    </row>
    <row r="603" ht="15.75" customHeight="1">
      <c r="A603" s="59"/>
    </row>
    <row r="604" ht="15.75" customHeight="1">
      <c r="A604" s="59"/>
    </row>
    <row r="605" ht="15.75" customHeight="1">
      <c r="A605" s="59"/>
    </row>
    <row r="606" ht="15.75" customHeight="1">
      <c r="A606" s="59"/>
    </row>
    <row r="607" ht="15.75" customHeight="1">
      <c r="A607" s="59"/>
    </row>
    <row r="608" ht="15.75" customHeight="1">
      <c r="A608" s="59"/>
    </row>
    <row r="609" ht="15.75" customHeight="1">
      <c r="A609" s="59"/>
    </row>
    <row r="610" ht="15.75" customHeight="1">
      <c r="A610" s="59"/>
    </row>
    <row r="611" ht="15.75" customHeight="1">
      <c r="A611" s="59"/>
    </row>
    <row r="612" ht="15.75" customHeight="1">
      <c r="A612" s="59"/>
    </row>
    <row r="613" ht="15.75" customHeight="1">
      <c r="A613" s="59"/>
    </row>
    <row r="614" ht="15.75" customHeight="1">
      <c r="A614" s="59"/>
    </row>
    <row r="615" ht="15.75" customHeight="1">
      <c r="A615" s="59"/>
    </row>
    <row r="616" ht="15.75" customHeight="1">
      <c r="A616" s="59"/>
    </row>
    <row r="617" ht="15.75" customHeight="1">
      <c r="A617" s="59"/>
    </row>
    <row r="618" ht="15.75" customHeight="1">
      <c r="A618" s="59"/>
    </row>
    <row r="619" ht="15.75" customHeight="1">
      <c r="A619" s="59"/>
    </row>
    <row r="620" ht="15.75" customHeight="1">
      <c r="A620" s="59"/>
    </row>
    <row r="621" ht="15.75" customHeight="1">
      <c r="A621" s="59"/>
    </row>
    <row r="622" ht="15.75" customHeight="1">
      <c r="A622" s="59"/>
    </row>
    <row r="623" ht="15.75" customHeight="1">
      <c r="A623" s="59"/>
    </row>
    <row r="624" ht="15.75" customHeight="1">
      <c r="A624" s="59"/>
    </row>
    <row r="625" ht="15.75" customHeight="1">
      <c r="A625" s="59"/>
    </row>
    <row r="626" ht="15.75" customHeight="1">
      <c r="A626" s="59"/>
    </row>
    <row r="627" ht="15.75" customHeight="1">
      <c r="A627" s="59"/>
    </row>
    <row r="628" ht="15.75" customHeight="1">
      <c r="A628" s="59"/>
    </row>
    <row r="629" ht="15.75" customHeight="1">
      <c r="A629" s="59"/>
    </row>
    <row r="630" ht="15.75" customHeight="1">
      <c r="A630" s="59"/>
    </row>
    <row r="631" ht="15.75" customHeight="1">
      <c r="A631" s="59"/>
    </row>
    <row r="632" ht="15.75" customHeight="1">
      <c r="A632" s="59"/>
    </row>
    <row r="633" ht="15.75" customHeight="1">
      <c r="A633" s="59"/>
    </row>
    <row r="634" ht="15.75" customHeight="1">
      <c r="A634" s="59"/>
    </row>
    <row r="635" ht="15.75" customHeight="1">
      <c r="A635" s="59"/>
    </row>
    <row r="636" ht="15.75" customHeight="1">
      <c r="A636" s="59"/>
    </row>
    <row r="637" ht="15.75" customHeight="1">
      <c r="A637" s="59"/>
    </row>
    <row r="638" ht="15.75" customHeight="1">
      <c r="A638" s="59"/>
    </row>
    <row r="639" ht="15.75" customHeight="1">
      <c r="A639" s="59"/>
    </row>
    <row r="640" ht="15.75" customHeight="1">
      <c r="A640" s="59"/>
    </row>
    <row r="641" ht="15.75" customHeight="1">
      <c r="A641" s="59"/>
    </row>
    <row r="642" ht="15.75" customHeight="1">
      <c r="A642" s="59"/>
    </row>
    <row r="643" ht="15.75" customHeight="1">
      <c r="A643" s="59"/>
    </row>
    <row r="644" ht="15.75" customHeight="1">
      <c r="A644" s="59"/>
    </row>
    <row r="645" ht="15.75" customHeight="1">
      <c r="A645" s="59"/>
    </row>
    <row r="646" ht="15.75" customHeight="1">
      <c r="A646" s="59"/>
    </row>
    <row r="647" ht="15.75" customHeight="1">
      <c r="A647" s="59"/>
    </row>
    <row r="648" ht="15.75" customHeight="1">
      <c r="A648" s="59"/>
    </row>
    <row r="649" ht="15.75" customHeight="1">
      <c r="A649" s="59"/>
    </row>
    <row r="650" ht="15.75" customHeight="1">
      <c r="A650" s="59"/>
    </row>
    <row r="651" ht="15.75" customHeight="1">
      <c r="A651" s="59"/>
    </row>
    <row r="652" ht="15.75" customHeight="1">
      <c r="A652" s="59"/>
    </row>
    <row r="653" ht="15.75" customHeight="1">
      <c r="A653" s="59"/>
    </row>
    <row r="654" ht="15.75" customHeight="1">
      <c r="A654" s="59"/>
    </row>
    <row r="655" ht="15.75" customHeight="1">
      <c r="A655" s="59"/>
    </row>
    <row r="656" ht="15.75" customHeight="1">
      <c r="A656" s="59"/>
    </row>
    <row r="657" ht="15.75" customHeight="1">
      <c r="A657" s="59"/>
    </row>
    <row r="658" ht="15.75" customHeight="1">
      <c r="A658" s="59"/>
    </row>
    <row r="659" ht="15.75" customHeight="1">
      <c r="A659" s="59"/>
    </row>
    <row r="660" ht="15.75" customHeight="1">
      <c r="A660" s="59"/>
    </row>
    <row r="661" ht="15.75" customHeight="1">
      <c r="A661" s="59"/>
    </row>
    <row r="662" ht="15.75" customHeight="1">
      <c r="A662" s="59"/>
    </row>
    <row r="663" ht="15.75" customHeight="1">
      <c r="A663" s="59"/>
    </row>
    <row r="664" ht="15.75" customHeight="1">
      <c r="A664" s="59"/>
    </row>
    <row r="665" ht="15.75" customHeight="1">
      <c r="A665" s="59"/>
    </row>
    <row r="666" ht="15.75" customHeight="1">
      <c r="A666" s="59"/>
    </row>
    <row r="667" ht="15.75" customHeight="1">
      <c r="A667" s="59"/>
    </row>
    <row r="668" ht="15.75" customHeight="1">
      <c r="A668" s="59"/>
    </row>
    <row r="669" ht="15.75" customHeight="1">
      <c r="A669" s="59"/>
    </row>
    <row r="670" ht="15.75" customHeight="1">
      <c r="A670" s="59"/>
    </row>
    <row r="671" ht="15.75" customHeight="1">
      <c r="A671" s="59"/>
    </row>
    <row r="672" ht="15.75" customHeight="1">
      <c r="A672" s="59"/>
    </row>
    <row r="673" ht="15.75" customHeight="1">
      <c r="A673" s="59"/>
    </row>
    <row r="674" ht="15.75" customHeight="1">
      <c r="A674" s="59"/>
    </row>
    <row r="675" ht="15.75" customHeight="1">
      <c r="A675" s="59"/>
    </row>
    <row r="676" ht="15.75" customHeight="1">
      <c r="A676" s="59"/>
    </row>
    <row r="677" ht="15.75" customHeight="1">
      <c r="A677" s="59"/>
    </row>
    <row r="678" ht="15.75" customHeight="1">
      <c r="A678" s="59"/>
    </row>
    <row r="679" ht="15.75" customHeight="1">
      <c r="A679" s="59"/>
    </row>
    <row r="680" ht="15.75" customHeight="1">
      <c r="A680" s="59"/>
    </row>
    <row r="681" ht="15.75" customHeight="1">
      <c r="A681" s="59"/>
    </row>
    <row r="682" ht="15.75" customHeight="1">
      <c r="A682" s="59"/>
    </row>
    <row r="683" ht="15.75" customHeight="1">
      <c r="A683" s="59"/>
    </row>
    <row r="684" ht="15.75" customHeight="1">
      <c r="A684" s="59"/>
    </row>
    <row r="685" ht="15.75" customHeight="1">
      <c r="A685" s="59"/>
    </row>
    <row r="686" ht="15.75" customHeight="1">
      <c r="A686" s="59"/>
    </row>
    <row r="687" ht="15.75" customHeight="1">
      <c r="A687" s="59"/>
    </row>
    <row r="688" ht="15.75" customHeight="1">
      <c r="A688" s="59"/>
    </row>
    <row r="689" ht="15.75" customHeight="1">
      <c r="A689" s="59"/>
    </row>
    <row r="690" ht="15.75" customHeight="1">
      <c r="A690" s="59"/>
    </row>
    <row r="691" ht="15.75" customHeight="1">
      <c r="A691" s="59"/>
    </row>
    <row r="692" ht="15.75" customHeight="1">
      <c r="A692" s="59"/>
    </row>
    <row r="693" ht="15.75" customHeight="1">
      <c r="A693" s="59"/>
    </row>
    <row r="694" ht="15.75" customHeight="1">
      <c r="A694" s="59"/>
    </row>
    <row r="695" ht="15.75" customHeight="1">
      <c r="A695" s="59"/>
    </row>
    <row r="696" ht="15.75" customHeight="1">
      <c r="A696" s="59"/>
    </row>
    <row r="697" ht="15.75" customHeight="1">
      <c r="A697" s="59"/>
    </row>
    <row r="698" ht="15.75" customHeight="1">
      <c r="A698" s="59"/>
    </row>
    <row r="699" ht="15.75" customHeight="1">
      <c r="A699" s="59"/>
    </row>
    <row r="700" ht="15.75" customHeight="1">
      <c r="A700" s="59"/>
    </row>
    <row r="701" ht="15.75" customHeight="1">
      <c r="A701" s="59"/>
    </row>
    <row r="702" ht="15.75" customHeight="1">
      <c r="A702" s="59"/>
    </row>
    <row r="703" ht="15.75" customHeight="1">
      <c r="A703" s="59"/>
    </row>
    <row r="704" ht="15.75" customHeight="1">
      <c r="A704" s="59"/>
    </row>
    <row r="705" ht="15.75" customHeight="1">
      <c r="A705" s="59"/>
    </row>
    <row r="706" ht="15.75" customHeight="1">
      <c r="A706" s="59"/>
    </row>
    <row r="707" ht="15.75" customHeight="1">
      <c r="A707" s="59"/>
    </row>
    <row r="708" ht="15.75" customHeight="1">
      <c r="A708" s="59"/>
    </row>
    <row r="709" ht="15.75" customHeight="1">
      <c r="A709" s="59"/>
    </row>
    <row r="710" ht="15.75" customHeight="1">
      <c r="A710" s="59"/>
    </row>
    <row r="711" ht="15.75" customHeight="1">
      <c r="A711" s="59"/>
    </row>
    <row r="712" ht="15.75" customHeight="1">
      <c r="A712" s="59"/>
    </row>
    <row r="713" ht="15.75" customHeight="1">
      <c r="A713" s="59"/>
    </row>
    <row r="714" ht="15.75" customHeight="1">
      <c r="A714" s="59"/>
    </row>
    <row r="715" ht="15.75" customHeight="1">
      <c r="A715" s="59"/>
    </row>
    <row r="716" ht="15.75" customHeight="1">
      <c r="A716" s="59"/>
    </row>
    <row r="717" ht="15.75" customHeight="1">
      <c r="A717" s="59"/>
    </row>
    <row r="718" ht="15.75" customHeight="1">
      <c r="A718" s="59"/>
    </row>
    <row r="719" ht="15.75" customHeight="1">
      <c r="A719" s="59"/>
    </row>
    <row r="720" ht="15.75" customHeight="1">
      <c r="A720" s="59"/>
    </row>
    <row r="721" ht="15.75" customHeight="1">
      <c r="A721" s="59"/>
    </row>
    <row r="722" ht="15.75" customHeight="1">
      <c r="A722" s="59"/>
    </row>
    <row r="723" ht="15.75" customHeight="1">
      <c r="A723" s="59"/>
    </row>
    <row r="724" ht="15.75" customHeight="1">
      <c r="A724" s="59"/>
    </row>
    <row r="725" ht="15.75" customHeight="1">
      <c r="A725" s="59"/>
    </row>
    <row r="726" ht="15.75" customHeight="1">
      <c r="A726" s="59"/>
    </row>
    <row r="727" ht="15.75" customHeight="1">
      <c r="A727" s="59"/>
    </row>
    <row r="728" ht="15.75" customHeight="1">
      <c r="A728" s="59"/>
    </row>
    <row r="729" ht="15.75" customHeight="1">
      <c r="A729" s="59"/>
    </row>
    <row r="730" ht="15.75" customHeight="1">
      <c r="A730" s="59"/>
    </row>
    <row r="731" ht="15.75" customHeight="1">
      <c r="A731" s="59"/>
    </row>
    <row r="732" ht="15.75" customHeight="1">
      <c r="A732" s="59"/>
    </row>
    <row r="733" ht="15.75" customHeight="1">
      <c r="A733" s="59"/>
    </row>
    <row r="734" ht="15.75" customHeight="1">
      <c r="A734" s="59"/>
    </row>
    <row r="735" ht="15.75" customHeight="1">
      <c r="A735" s="59"/>
    </row>
    <row r="736" ht="15.75" customHeight="1">
      <c r="A736" s="59"/>
    </row>
    <row r="737" ht="15.75" customHeight="1">
      <c r="A737" s="59"/>
    </row>
    <row r="738" ht="15.75" customHeight="1">
      <c r="A738" s="59"/>
    </row>
    <row r="739" ht="15.75" customHeight="1">
      <c r="A739" s="59"/>
    </row>
    <row r="740" ht="15.75" customHeight="1">
      <c r="A740" s="59"/>
    </row>
    <row r="741" ht="15.75" customHeight="1">
      <c r="A741" s="59"/>
    </row>
    <row r="742" ht="15.75" customHeight="1">
      <c r="A742" s="59"/>
    </row>
    <row r="743" ht="15.75" customHeight="1">
      <c r="A743" s="59"/>
    </row>
    <row r="744" ht="15.75" customHeight="1">
      <c r="A744" s="59"/>
    </row>
    <row r="745" ht="15.75" customHeight="1">
      <c r="A745" s="59"/>
    </row>
    <row r="746" ht="15.75" customHeight="1">
      <c r="A746" s="59"/>
    </row>
    <row r="747" ht="15.75" customHeight="1">
      <c r="A747" s="59"/>
    </row>
    <row r="748" ht="15.75" customHeight="1">
      <c r="A748" s="59"/>
    </row>
    <row r="749" ht="15.75" customHeight="1">
      <c r="A749" s="59"/>
    </row>
    <row r="750" ht="15.75" customHeight="1">
      <c r="A750" s="59"/>
    </row>
    <row r="751" ht="15.75" customHeight="1">
      <c r="A751" s="59"/>
    </row>
    <row r="752" ht="15.75" customHeight="1">
      <c r="A752" s="59"/>
    </row>
    <row r="753" ht="15.75" customHeight="1">
      <c r="A753" s="59"/>
    </row>
    <row r="754" ht="15.75" customHeight="1">
      <c r="A754" s="59"/>
    </row>
    <row r="755" ht="15.75" customHeight="1">
      <c r="A755" s="59"/>
    </row>
    <row r="756" ht="15.75" customHeight="1">
      <c r="A756" s="59"/>
    </row>
    <row r="757" ht="15.75" customHeight="1">
      <c r="A757" s="59"/>
    </row>
    <row r="758" ht="15.75" customHeight="1">
      <c r="A758" s="59"/>
    </row>
    <row r="759" ht="15.75" customHeight="1">
      <c r="A759" s="59"/>
    </row>
    <row r="760" ht="15.75" customHeight="1">
      <c r="A760" s="59"/>
    </row>
    <row r="761" ht="15.75" customHeight="1">
      <c r="A761" s="59"/>
    </row>
    <row r="762" ht="15.75" customHeight="1">
      <c r="A762" s="59"/>
    </row>
    <row r="763" ht="15.75" customHeight="1">
      <c r="A763" s="59"/>
    </row>
    <row r="764" ht="15.75" customHeight="1">
      <c r="A764" s="59"/>
    </row>
    <row r="765" ht="15.75" customHeight="1">
      <c r="A765" s="59"/>
    </row>
    <row r="766" ht="15.75" customHeight="1">
      <c r="A766" s="59"/>
    </row>
    <row r="767" ht="15.75" customHeight="1">
      <c r="A767" s="59"/>
    </row>
    <row r="768" ht="15.75" customHeight="1">
      <c r="A768" s="59"/>
    </row>
    <row r="769" ht="15.75" customHeight="1">
      <c r="A769" s="59"/>
    </row>
    <row r="770" ht="15.75" customHeight="1">
      <c r="A770" s="59"/>
    </row>
    <row r="771" ht="15.75" customHeight="1">
      <c r="A771" s="59"/>
    </row>
    <row r="772" ht="15.75" customHeight="1">
      <c r="A772" s="59"/>
    </row>
    <row r="773" ht="15.75" customHeight="1">
      <c r="A773" s="59"/>
    </row>
    <row r="774" ht="15.75" customHeight="1">
      <c r="A774" s="59"/>
    </row>
    <row r="775" ht="15.75" customHeight="1">
      <c r="A775" s="59"/>
    </row>
    <row r="776" ht="15.75" customHeight="1">
      <c r="A776" s="59"/>
    </row>
    <row r="777" ht="15.75" customHeight="1">
      <c r="A777" s="59"/>
    </row>
    <row r="778" ht="15.75" customHeight="1">
      <c r="A778" s="59"/>
    </row>
    <row r="779" ht="15.75" customHeight="1">
      <c r="A779" s="59"/>
    </row>
    <row r="780" ht="15.75" customHeight="1">
      <c r="A780" s="59"/>
    </row>
    <row r="781" ht="15.75" customHeight="1">
      <c r="A781" s="59"/>
    </row>
    <row r="782" ht="15.75" customHeight="1">
      <c r="A782" s="59"/>
    </row>
    <row r="783" ht="15.75" customHeight="1">
      <c r="A783" s="59"/>
    </row>
    <row r="784" ht="15.75" customHeight="1">
      <c r="A784" s="59"/>
    </row>
    <row r="785" ht="15.75" customHeight="1">
      <c r="A785" s="59"/>
    </row>
    <row r="786" ht="15.75" customHeight="1">
      <c r="A786" s="59"/>
    </row>
    <row r="787" ht="15.75" customHeight="1">
      <c r="A787" s="59"/>
    </row>
    <row r="788" ht="15.75" customHeight="1">
      <c r="A788" s="59"/>
    </row>
    <row r="789" ht="15.75" customHeight="1">
      <c r="A789" s="59"/>
    </row>
    <row r="790" ht="15.75" customHeight="1">
      <c r="A790" s="59"/>
    </row>
    <row r="791" ht="15.75" customHeight="1">
      <c r="A791" s="59"/>
    </row>
    <row r="792" ht="15.75" customHeight="1">
      <c r="A792" s="59"/>
    </row>
    <row r="793" ht="15.75" customHeight="1">
      <c r="A793" s="59"/>
    </row>
    <row r="794" ht="15.75" customHeight="1">
      <c r="A794" s="59"/>
    </row>
    <row r="795" ht="15.75" customHeight="1">
      <c r="A795" s="59"/>
    </row>
    <row r="796" ht="15.75" customHeight="1">
      <c r="A796" s="59"/>
    </row>
    <row r="797" ht="15.75" customHeight="1">
      <c r="A797" s="59"/>
    </row>
    <row r="798" ht="15.75" customHeight="1">
      <c r="A798" s="59"/>
    </row>
    <row r="799" ht="15.75" customHeight="1">
      <c r="A799" s="59"/>
    </row>
    <row r="800" ht="15.75" customHeight="1">
      <c r="A800" s="59"/>
    </row>
    <row r="801" ht="15.75" customHeight="1">
      <c r="A801" s="59"/>
    </row>
    <row r="802" ht="15.75" customHeight="1">
      <c r="A802" s="59"/>
    </row>
    <row r="803" ht="15.75" customHeight="1">
      <c r="A803" s="59"/>
    </row>
    <row r="804" ht="15.75" customHeight="1">
      <c r="A804" s="59"/>
    </row>
    <row r="805" ht="15.75" customHeight="1">
      <c r="A805" s="59"/>
    </row>
    <row r="806" ht="15.75" customHeight="1">
      <c r="A806" s="59"/>
    </row>
    <row r="807" ht="15.75" customHeight="1">
      <c r="A807" s="59"/>
    </row>
    <row r="808" ht="15.75" customHeight="1">
      <c r="A808" s="59"/>
    </row>
    <row r="809" ht="15.75" customHeight="1">
      <c r="A809" s="59"/>
    </row>
    <row r="810" ht="15.75" customHeight="1">
      <c r="A810" s="59"/>
    </row>
    <row r="811" ht="15.75" customHeight="1">
      <c r="A811" s="59"/>
    </row>
    <row r="812" ht="15.75" customHeight="1">
      <c r="A812" s="59"/>
    </row>
    <row r="813" ht="15.75" customHeight="1">
      <c r="A813" s="59"/>
    </row>
    <row r="814" ht="15.75" customHeight="1">
      <c r="A814" s="59"/>
    </row>
    <row r="815" ht="15.75" customHeight="1">
      <c r="A815" s="59"/>
    </row>
    <row r="816" ht="15.75" customHeight="1">
      <c r="A816" s="59"/>
    </row>
    <row r="817" ht="15.75" customHeight="1">
      <c r="A817" s="59"/>
    </row>
    <row r="818" ht="15.75" customHeight="1">
      <c r="A818" s="59"/>
    </row>
    <row r="819" ht="15.75" customHeight="1">
      <c r="A819" s="59"/>
    </row>
    <row r="820" ht="15.75" customHeight="1">
      <c r="A820" s="59"/>
    </row>
    <row r="821" ht="15.75" customHeight="1">
      <c r="A821" s="59"/>
    </row>
    <row r="822" ht="15.75" customHeight="1">
      <c r="A822" s="59"/>
    </row>
    <row r="823" ht="15.75" customHeight="1">
      <c r="A823" s="59"/>
    </row>
    <row r="824" ht="15.75" customHeight="1">
      <c r="A824" s="59"/>
    </row>
    <row r="825" ht="15.75" customHeight="1">
      <c r="A825" s="59"/>
    </row>
    <row r="826" ht="15.75" customHeight="1">
      <c r="A826" s="59"/>
    </row>
    <row r="827" ht="15.75" customHeight="1">
      <c r="A827" s="59"/>
    </row>
    <row r="828" ht="15.75" customHeight="1">
      <c r="A828" s="59"/>
    </row>
    <row r="829" ht="15.75" customHeight="1">
      <c r="A829" s="59"/>
    </row>
    <row r="830" ht="15.75" customHeight="1">
      <c r="A830" s="59"/>
    </row>
    <row r="831" ht="15.75" customHeight="1">
      <c r="A831" s="59"/>
    </row>
    <row r="832" ht="15.75" customHeight="1">
      <c r="A832" s="59"/>
    </row>
    <row r="833" ht="15.75" customHeight="1">
      <c r="A833" s="59"/>
    </row>
    <row r="834" ht="15.75" customHeight="1">
      <c r="A834" s="59"/>
    </row>
    <row r="835" ht="15.75" customHeight="1">
      <c r="A835" s="59"/>
    </row>
    <row r="836" ht="15.75" customHeight="1">
      <c r="A836" s="59"/>
    </row>
    <row r="837" ht="15.75" customHeight="1">
      <c r="A837" s="59"/>
    </row>
    <row r="838" ht="15.75" customHeight="1">
      <c r="A838" s="59"/>
    </row>
    <row r="839" ht="15.75" customHeight="1">
      <c r="A839" s="59"/>
    </row>
    <row r="840" ht="15.75" customHeight="1">
      <c r="A840" s="59"/>
    </row>
    <row r="841" ht="15.75" customHeight="1">
      <c r="A841" s="59"/>
    </row>
    <row r="842" ht="15.75" customHeight="1">
      <c r="A842" s="59"/>
    </row>
    <row r="843" ht="15.75" customHeight="1">
      <c r="A843" s="59"/>
    </row>
    <row r="844" ht="15.75" customHeight="1">
      <c r="A844" s="59"/>
    </row>
    <row r="845" ht="15.75" customHeight="1">
      <c r="A845" s="59"/>
    </row>
    <row r="846" ht="15.75" customHeight="1">
      <c r="A846" s="59"/>
    </row>
    <row r="847" ht="15.75" customHeight="1">
      <c r="A847" s="59"/>
    </row>
    <row r="848" ht="15.75" customHeight="1">
      <c r="A848" s="59"/>
    </row>
    <row r="849" ht="15.75" customHeight="1">
      <c r="A849" s="59"/>
    </row>
    <row r="850" ht="15.75" customHeight="1">
      <c r="A850" s="59"/>
    </row>
    <row r="851" ht="15.75" customHeight="1">
      <c r="A851" s="59"/>
    </row>
    <row r="852" ht="15.75" customHeight="1">
      <c r="A852" s="59"/>
    </row>
    <row r="853" ht="15.75" customHeight="1">
      <c r="A853" s="59"/>
    </row>
    <row r="854" ht="15.75" customHeight="1">
      <c r="A854" s="59"/>
    </row>
    <row r="855" ht="15.75" customHeight="1">
      <c r="A855" s="59"/>
    </row>
    <row r="856" ht="15.75" customHeight="1">
      <c r="A856" s="59"/>
    </row>
    <row r="857" ht="15.75" customHeight="1">
      <c r="A857" s="59"/>
    </row>
    <row r="858" ht="15.75" customHeight="1">
      <c r="A858" s="59"/>
    </row>
    <row r="859" ht="15.75" customHeight="1">
      <c r="A859" s="59"/>
    </row>
    <row r="860" ht="15.75" customHeight="1">
      <c r="A860" s="59"/>
    </row>
    <row r="861" ht="15.75" customHeight="1">
      <c r="A861" s="59"/>
    </row>
    <row r="862" ht="15.75" customHeight="1">
      <c r="A862" s="59"/>
    </row>
    <row r="863" ht="15.75" customHeight="1">
      <c r="A863" s="59"/>
    </row>
    <row r="864" ht="15.75" customHeight="1">
      <c r="A864" s="59"/>
    </row>
    <row r="865" ht="15.75" customHeight="1">
      <c r="A865" s="59"/>
    </row>
    <row r="866" ht="15.75" customHeight="1">
      <c r="A866" s="59"/>
    </row>
    <row r="867" ht="15.75" customHeight="1">
      <c r="A867" s="59"/>
    </row>
    <row r="868" ht="15.75" customHeight="1">
      <c r="A868" s="59"/>
    </row>
    <row r="869" ht="15.75" customHeight="1">
      <c r="A869" s="59"/>
    </row>
    <row r="870" ht="15.75" customHeight="1">
      <c r="A870" s="59"/>
    </row>
    <row r="871" ht="15.75" customHeight="1">
      <c r="A871" s="59"/>
    </row>
    <row r="872" ht="15.75" customHeight="1">
      <c r="A872" s="59"/>
    </row>
    <row r="873" ht="15.75" customHeight="1">
      <c r="A873" s="59"/>
    </row>
    <row r="874" ht="15.75" customHeight="1">
      <c r="A874" s="59"/>
    </row>
    <row r="875" ht="15.75" customHeight="1">
      <c r="A875" s="59"/>
    </row>
    <row r="876" ht="15.75" customHeight="1">
      <c r="A876" s="59"/>
    </row>
    <row r="877" ht="15.75" customHeight="1">
      <c r="A877" s="59"/>
    </row>
    <row r="878" ht="15.75" customHeight="1">
      <c r="A878" s="59"/>
    </row>
    <row r="879" ht="15.75" customHeight="1">
      <c r="A879" s="59"/>
    </row>
    <row r="880" ht="15.75" customHeight="1">
      <c r="A880" s="59"/>
    </row>
    <row r="881" ht="15.75" customHeight="1">
      <c r="A881" s="59"/>
    </row>
    <row r="882" ht="15.75" customHeight="1">
      <c r="A882" s="59"/>
    </row>
    <row r="883" ht="15.75" customHeight="1">
      <c r="A883" s="59"/>
    </row>
    <row r="884" ht="15.75" customHeight="1">
      <c r="A884" s="59"/>
    </row>
    <row r="885" ht="15.75" customHeight="1">
      <c r="A885" s="59"/>
    </row>
    <row r="886" ht="15.75" customHeight="1">
      <c r="A886" s="59"/>
    </row>
    <row r="887" ht="15.75" customHeight="1">
      <c r="A887" s="59"/>
    </row>
    <row r="888" ht="15.75" customHeight="1">
      <c r="A888" s="59"/>
    </row>
    <row r="889" ht="15.75" customHeight="1">
      <c r="A889" s="59"/>
    </row>
    <row r="890" ht="15.75" customHeight="1">
      <c r="A890" s="59"/>
    </row>
    <row r="891" ht="15.75" customHeight="1">
      <c r="A891" s="59"/>
    </row>
    <row r="892" ht="15.75" customHeight="1">
      <c r="A892" s="59"/>
    </row>
    <row r="893" ht="15.75" customHeight="1">
      <c r="A893" s="59"/>
    </row>
    <row r="894" ht="15.75" customHeight="1">
      <c r="A894" s="59"/>
    </row>
    <row r="895" ht="15.75" customHeight="1">
      <c r="A895" s="59"/>
    </row>
    <row r="896" ht="15.75" customHeight="1">
      <c r="A896" s="59"/>
    </row>
    <row r="897" ht="15.75" customHeight="1">
      <c r="A897" s="59"/>
    </row>
    <row r="898" ht="15.75" customHeight="1">
      <c r="A898" s="59"/>
    </row>
    <row r="899" ht="15.75" customHeight="1">
      <c r="A899" s="59"/>
    </row>
    <row r="900" ht="15.75" customHeight="1">
      <c r="A900" s="59"/>
    </row>
    <row r="901" ht="15.75" customHeight="1">
      <c r="A901" s="59"/>
    </row>
    <row r="902" ht="15.75" customHeight="1">
      <c r="A902" s="59"/>
    </row>
    <row r="903" ht="15.75" customHeight="1">
      <c r="A903" s="59"/>
    </row>
    <row r="904" ht="15.75" customHeight="1">
      <c r="A904" s="59"/>
    </row>
    <row r="905" ht="15.75" customHeight="1">
      <c r="A905" s="59"/>
    </row>
    <row r="906" ht="15.75" customHeight="1">
      <c r="A906" s="59"/>
    </row>
    <row r="907" ht="15.75" customHeight="1">
      <c r="A907" s="59"/>
    </row>
    <row r="908" ht="15.75" customHeight="1">
      <c r="A908" s="59"/>
    </row>
    <row r="909" ht="15.75" customHeight="1">
      <c r="A909" s="59"/>
    </row>
    <row r="910" ht="15.75" customHeight="1">
      <c r="A910" s="59"/>
    </row>
    <row r="911" ht="15.75" customHeight="1">
      <c r="A911" s="59"/>
    </row>
    <row r="912" ht="15.75" customHeight="1">
      <c r="A912" s="59"/>
    </row>
    <row r="913" ht="15.75" customHeight="1">
      <c r="A913" s="59"/>
    </row>
    <row r="914" ht="15.75" customHeight="1">
      <c r="A914" s="59"/>
    </row>
    <row r="915" ht="15.75" customHeight="1">
      <c r="A915" s="59"/>
    </row>
    <row r="916" ht="15.75" customHeight="1">
      <c r="A916" s="59"/>
    </row>
    <row r="917" ht="15.75" customHeight="1">
      <c r="A917" s="59"/>
    </row>
    <row r="918" ht="15.75" customHeight="1">
      <c r="A918" s="59"/>
    </row>
    <row r="919" ht="15.75" customHeight="1">
      <c r="A919" s="59"/>
    </row>
    <row r="920" ht="15.75" customHeight="1">
      <c r="A920" s="59"/>
    </row>
    <row r="921" ht="15.75" customHeight="1">
      <c r="A921" s="59"/>
    </row>
    <row r="922" ht="15.75" customHeight="1">
      <c r="A922" s="59"/>
    </row>
    <row r="923" ht="15.75" customHeight="1">
      <c r="A923" s="59"/>
    </row>
    <row r="924" ht="15.75" customHeight="1">
      <c r="A924" s="59"/>
    </row>
    <row r="925" ht="15.75" customHeight="1">
      <c r="A925" s="59"/>
    </row>
    <row r="926" ht="15.75" customHeight="1">
      <c r="A926" s="59"/>
    </row>
    <row r="927" ht="15.75" customHeight="1">
      <c r="A927" s="59"/>
    </row>
    <row r="928" ht="15.75" customHeight="1">
      <c r="A928" s="59"/>
    </row>
    <row r="929" ht="15.75" customHeight="1">
      <c r="A929" s="59"/>
    </row>
    <row r="930" ht="15.75" customHeight="1">
      <c r="A930" s="59"/>
    </row>
    <row r="931" ht="15.75" customHeight="1">
      <c r="A931" s="59"/>
    </row>
    <row r="932" ht="15.75" customHeight="1">
      <c r="A932" s="59"/>
    </row>
    <row r="933" ht="15.75" customHeight="1">
      <c r="A933" s="59"/>
    </row>
    <row r="934" ht="15.75" customHeight="1">
      <c r="A934" s="59"/>
    </row>
    <row r="935" ht="15.75" customHeight="1">
      <c r="A935" s="59"/>
    </row>
    <row r="936" ht="15.75" customHeight="1">
      <c r="A936" s="59"/>
    </row>
    <row r="937" ht="15.75" customHeight="1">
      <c r="A937" s="59"/>
    </row>
    <row r="938" ht="15.75" customHeight="1">
      <c r="A938" s="59"/>
    </row>
    <row r="939" ht="15.75" customHeight="1">
      <c r="A939" s="59"/>
    </row>
    <row r="940" ht="15.75" customHeight="1">
      <c r="A940" s="59"/>
    </row>
    <row r="941" ht="15.75" customHeight="1">
      <c r="A941" s="59"/>
    </row>
    <row r="942" ht="15.75" customHeight="1">
      <c r="A942" s="59"/>
    </row>
    <row r="943" ht="15.75" customHeight="1">
      <c r="A943" s="59"/>
    </row>
    <row r="944" ht="15.75" customHeight="1">
      <c r="A944" s="59"/>
    </row>
    <row r="945" ht="15.75" customHeight="1">
      <c r="A945" s="59"/>
    </row>
    <row r="946" ht="15.75" customHeight="1">
      <c r="A946" s="59"/>
    </row>
    <row r="947" ht="15.75" customHeight="1">
      <c r="A947" s="59"/>
    </row>
    <row r="948" ht="15.75" customHeight="1">
      <c r="A948" s="59"/>
    </row>
    <row r="949" ht="15.75" customHeight="1">
      <c r="A949" s="59"/>
    </row>
    <row r="950" ht="15.75" customHeight="1">
      <c r="A950" s="59"/>
    </row>
    <row r="951" ht="15.75" customHeight="1">
      <c r="A951" s="59"/>
    </row>
    <row r="952" ht="15.75" customHeight="1">
      <c r="A952" s="59"/>
    </row>
    <row r="953" ht="15.75" customHeight="1">
      <c r="A953" s="59"/>
    </row>
    <row r="954" ht="15.75" customHeight="1">
      <c r="A954" s="59"/>
    </row>
    <row r="955" ht="15.75" customHeight="1">
      <c r="A955" s="59"/>
    </row>
    <row r="956" ht="15.75" customHeight="1">
      <c r="A956" s="59"/>
    </row>
    <row r="957" ht="15.75" customHeight="1">
      <c r="A957" s="59"/>
    </row>
    <row r="958" ht="15.75" customHeight="1">
      <c r="A958" s="59"/>
    </row>
    <row r="959" ht="15.75" customHeight="1">
      <c r="A959" s="59"/>
    </row>
    <row r="960" ht="15.75" customHeight="1">
      <c r="A960" s="59"/>
    </row>
    <row r="961" ht="15.75" customHeight="1">
      <c r="A961" s="59"/>
    </row>
    <row r="962" ht="15.75" customHeight="1">
      <c r="A962" s="59"/>
    </row>
    <row r="963" ht="15.75" customHeight="1">
      <c r="A963" s="59"/>
    </row>
    <row r="964" ht="15.75" customHeight="1">
      <c r="A964" s="59"/>
    </row>
    <row r="965" ht="15.75" customHeight="1">
      <c r="A965" s="59"/>
    </row>
    <row r="966" ht="15.75" customHeight="1">
      <c r="A966" s="59"/>
    </row>
    <row r="967" ht="15.75" customHeight="1">
      <c r="A967" s="59"/>
    </row>
    <row r="968" ht="15.75" customHeight="1">
      <c r="A968" s="59"/>
    </row>
    <row r="969" ht="15.75" customHeight="1">
      <c r="A969" s="59"/>
    </row>
    <row r="970" ht="15.75" customHeight="1">
      <c r="A970" s="59"/>
    </row>
    <row r="971" ht="15.75" customHeight="1">
      <c r="A971" s="59"/>
    </row>
    <row r="972" ht="15.75" customHeight="1">
      <c r="A972" s="59"/>
    </row>
    <row r="973" ht="15.75" customHeight="1">
      <c r="A973" s="59"/>
    </row>
    <row r="974" ht="15.75" customHeight="1">
      <c r="A974" s="59"/>
    </row>
    <row r="975" ht="15.75" customHeight="1">
      <c r="A975" s="59"/>
    </row>
    <row r="976" ht="15.75" customHeight="1">
      <c r="A976" s="59"/>
    </row>
    <row r="977" ht="15.75" customHeight="1">
      <c r="A977" s="59"/>
    </row>
    <row r="978" ht="15.75" customHeight="1">
      <c r="A978" s="59"/>
    </row>
    <row r="979" ht="15.75" customHeight="1">
      <c r="A979" s="59"/>
    </row>
    <row r="980" ht="15.75" customHeight="1">
      <c r="A980" s="59"/>
    </row>
    <row r="981" ht="15.75" customHeight="1">
      <c r="A981" s="59"/>
    </row>
    <row r="982" ht="15.75" customHeight="1">
      <c r="A982" s="59"/>
    </row>
    <row r="983" ht="15.75" customHeight="1">
      <c r="A983" s="59"/>
    </row>
    <row r="984" ht="15.75" customHeight="1">
      <c r="A984" s="59"/>
    </row>
    <row r="985" ht="15.75" customHeight="1">
      <c r="A985" s="59"/>
    </row>
    <row r="986" ht="15.75" customHeight="1">
      <c r="A986" s="59"/>
    </row>
    <row r="987" ht="15.75" customHeight="1">
      <c r="A987" s="59"/>
    </row>
    <row r="988" ht="15.75" customHeight="1">
      <c r="A988" s="59"/>
    </row>
    <row r="989" ht="15.75" customHeight="1">
      <c r="A989" s="59"/>
    </row>
    <row r="990" ht="15.75" customHeight="1">
      <c r="A990" s="59"/>
    </row>
    <row r="991" ht="15.75" customHeight="1">
      <c r="A991" s="59"/>
    </row>
    <row r="992" ht="15.75" customHeight="1">
      <c r="A992" s="59"/>
    </row>
    <row r="993" ht="15.75" customHeight="1">
      <c r="A993" s="59"/>
    </row>
    <row r="994" ht="15.75" customHeight="1">
      <c r="A994" s="59"/>
    </row>
    <row r="995" ht="15.75" customHeight="1">
      <c r="A995" s="59"/>
    </row>
    <row r="996" ht="15.75" customHeight="1">
      <c r="A996" s="59"/>
    </row>
    <row r="997" ht="15.75" customHeight="1">
      <c r="A997" s="59"/>
    </row>
    <row r="998" ht="15.75" customHeight="1">
      <c r="A998" s="59"/>
    </row>
    <row r="999" ht="15.75" customHeight="1">
      <c r="A999" s="59"/>
    </row>
    <row r="1000" ht="15.75" customHeight="1">
      <c r="A1000" s="59"/>
    </row>
  </sheetData>
  <autoFilter ref="$A$1:$U$219">
    <sortState ref="A1:U219">
      <sortCondition ref="A1:A21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6.0"/>
    <col customWidth="1" min="3" max="3" width="16.13"/>
    <col customWidth="1" min="4" max="4" width="10.0"/>
    <col customWidth="1" min="5" max="5" width="8.88"/>
    <col customWidth="1" min="6" max="6" width="12.63"/>
    <col customWidth="1" min="8" max="9" width="19.75"/>
    <col customWidth="1" min="10" max="11" width="27.5"/>
  </cols>
  <sheetData>
    <row r="1" ht="15.75" customHeight="1">
      <c r="A1" s="8" t="str">
        <f t="array" ref="A1:A5">UNIQUE('Transaction History'!L:L)</f>
        <v>Player</v>
      </c>
      <c r="B1" s="8" t="s">
        <v>28</v>
      </c>
      <c r="C1" s="8" t="s">
        <v>31</v>
      </c>
      <c r="D1" s="8" t="s">
        <v>22</v>
      </c>
      <c r="E1" s="8" t="s">
        <v>23</v>
      </c>
      <c r="F1" s="8" t="s">
        <v>33</v>
      </c>
      <c r="G1" s="8" t="s">
        <v>35</v>
      </c>
      <c r="H1" s="13" t="s">
        <v>36</v>
      </c>
      <c r="I1" s="15" t="s">
        <v>38</v>
      </c>
      <c r="J1" s="15" t="s">
        <v>39</v>
      </c>
      <c r="K1" s="15" t="s">
        <v>40</v>
      </c>
      <c r="L1" s="16" t="s">
        <v>6</v>
      </c>
      <c r="M1" s="16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</row>
    <row r="2" ht="15.75" customHeight="1">
      <c r="A2" s="19" t="s">
        <v>14</v>
      </c>
      <c r="B2" s="20">
        <f>COUNTIFS('Transaction History'!L:L,A2,'Transaction History'!B:B,"Bet Stake")</f>
        <v>56</v>
      </c>
      <c r="C2" s="20" t="str">
        <f>COUNTIFS('Transaction History'!L:L,A2,
          #REF!,"Win")
+
COUNTIFS('Transaction History'!L:L,A2,
          #REF!,"Loss")+COUNTIFS('Transaction History'!L:L,A2,
          #REF!,"Cashout")</f>
        <v>#VALUE!</v>
      </c>
      <c r="D2" s="20" t="str">
        <f>COUNTIFS('Transaction History'!L:L,A2,#REF!,"Win")</f>
        <v>#VALUE!</v>
      </c>
      <c r="E2" s="20" t="str">
        <f>COUNTIFS('Transaction History'!L:L,A2,#REF!,"Loss")</f>
        <v>#VALUE!</v>
      </c>
      <c r="F2" s="20" t="str">
        <f>COUNTIFS('Transaction History'!L:L,A2,#REF!,"Void")</f>
        <v>#VALUE!</v>
      </c>
      <c r="G2" s="20" t="str">
        <f>COUNTIFS('Transaction History'!L:L,A2,#REF!,"Cashout")</f>
        <v>#VALUE!</v>
      </c>
      <c r="H2" s="23" t="str">
        <f t="shared" ref="H2:H4" si="1">D2/C2</f>
        <v>#VALUE!</v>
      </c>
      <c r="I2" s="26" t="str">
        <f>SUMIFS(#REF!,
        'Transaction History'!L:L,A2)</f>
        <v>#N/A</v>
      </c>
      <c r="J2" s="26" t="str">
        <f>SUMIFS(#REF!,
        'Transaction History'!L:L,A2)</f>
        <v>#N/A</v>
      </c>
      <c r="K2" s="29" t="str">
        <f t="shared" ref="K2:K4" si="2">I2-J2</f>
        <v>#N/A</v>
      </c>
      <c r="L2" s="30" t="str">
        <f>sum(K2:K4)+99.99</f>
        <v>#N/A</v>
      </c>
      <c r="M2" s="31"/>
    </row>
    <row r="3" ht="15.75" customHeight="1">
      <c r="A3" s="19" t="s">
        <v>15</v>
      </c>
      <c r="B3" s="20">
        <f>COUNTIFS('Transaction History'!L:L,A3,'Transaction History'!B:B,"Bet Stake")</f>
        <v>46</v>
      </c>
      <c r="C3" s="20" t="str">
        <f>COUNTIFS('Transaction History'!L:L,A3,
          #REF!,"Win")
+
COUNTIFS('Transaction History'!L:L,A3,
          #REF!,"Loss")+COUNTIFS('Transaction History'!L:L,A3,
          #REF!,"Cashout")</f>
        <v>#VALUE!</v>
      </c>
      <c r="D3" s="20" t="str">
        <f>COUNTIFS('Transaction History'!L:L,A3,#REF!,"Win")</f>
        <v>#VALUE!</v>
      </c>
      <c r="E3" s="20" t="str">
        <f>COUNTIFS('Transaction History'!L:L,A3,#REF!,"Loss")</f>
        <v>#VALUE!</v>
      </c>
      <c r="F3" s="20" t="str">
        <f>COUNTIFS('Transaction History'!L:L,A3,#REF!,"Void")</f>
        <v>#VALUE!</v>
      </c>
      <c r="G3" s="20" t="str">
        <f>COUNTIFS('Transaction History'!L:L,A3,#REF!,"Cashout")</f>
        <v>#VALUE!</v>
      </c>
      <c r="H3" s="23" t="str">
        <f t="shared" si="1"/>
        <v>#VALUE!</v>
      </c>
      <c r="I3" s="26" t="str">
        <f>SUMIFS(#REF!,
        'Transaction History'!L:L,A3)</f>
        <v>#N/A</v>
      </c>
      <c r="J3" s="26" t="str">
        <f>SUMIFS(#REF!,
        'Transaction History'!L:L,A3)</f>
        <v>#N/A</v>
      </c>
      <c r="K3" s="29" t="str">
        <f t="shared" si="2"/>
        <v>#N/A</v>
      </c>
      <c r="L3" s="31"/>
      <c r="M3" s="31"/>
    </row>
    <row r="4" ht="15.75" customHeight="1">
      <c r="A4" s="38" t="s">
        <v>16</v>
      </c>
      <c r="B4" s="12">
        <f>COUNTIFS('Transaction History'!L:L,A4,'Transaction History'!B:B,"Bet Stake")</f>
        <v>51</v>
      </c>
      <c r="C4" s="12" t="str">
        <f>COUNTIFS('Transaction History'!L:L,A4,
          #REF!,"Win")
+
COUNTIFS('Transaction History'!L:L,A4,
          #REF!,"Loss")+COUNTIFS('Transaction History'!L:L,A4,
          #REF!,"Cashout")</f>
        <v>#VALUE!</v>
      </c>
      <c r="D4" s="12" t="str">
        <f>COUNTIFS('Transaction History'!L:L,A4,#REF!,"Win")</f>
        <v>#VALUE!</v>
      </c>
      <c r="E4" s="12" t="str">
        <f>COUNTIFS('Transaction History'!L:L,A4,#REF!,"Loss")</f>
        <v>#VALUE!</v>
      </c>
      <c r="F4" s="12" t="str">
        <f>COUNTIFS('Transaction History'!L:L,A4,#REF!,"Void")</f>
        <v>#VALUE!</v>
      </c>
      <c r="G4" s="12" t="str">
        <f>COUNTIFS('Transaction History'!L:L,A4,#REF!,"Cashout")</f>
        <v>#VALUE!</v>
      </c>
      <c r="H4" s="21" t="str">
        <f t="shared" si="1"/>
        <v>#VALUE!</v>
      </c>
      <c r="I4" s="24" t="str">
        <f>SUMIFS(#REF!,
        'Transaction History'!L:L,A4)</f>
        <v>#N/A</v>
      </c>
      <c r="J4" s="24" t="str">
        <f>SUMIFS(#REF!,
        'Transaction History'!L:L,A4)</f>
        <v>#N/A</v>
      </c>
      <c r="K4" s="42" t="str">
        <f t="shared" si="2"/>
        <v>#N/A</v>
      </c>
      <c r="L4" s="31"/>
      <c r="M4" s="31"/>
    </row>
    <row r="5" ht="15.75" customHeight="1">
      <c r="A5" s="31"/>
      <c r="B5" s="43"/>
      <c r="C5" s="43"/>
      <c r="D5" s="43"/>
      <c r="E5" s="43"/>
      <c r="F5" s="43"/>
      <c r="G5" s="43"/>
      <c r="H5" s="44"/>
      <c r="I5" s="43"/>
      <c r="J5" s="43"/>
      <c r="K5" s="31"/>
      <c r="L5" s="31"/>
      <c r="M5" s="31"/>
    </row>
    <row r="6" ht="15.75" customHeight="1">
      <c r="A6" s="31"/>
      <c r="B6" s="43"/>
      <c r="C6" s="43"/>
      <c r="D6" s="43"/>
      <c r="E6" s="43"/>
      <c r="F6" s="43"/>
      <c r="G6" s="43"/>
      <c r="H6" s="44"/>
      <c r="I6" s="43"/>
      <c r="J6" s="43"/>
      <c r="K6" s="43"/>
      <c r="L6" s="43"/>
      <c r="M6" s="43"/>
    </row>
    <row r="7" ht="15.75" customHeight="1">
      <c r="A7" s="45"/>
      <c r="H7" s="46"/>
    </row>
    <row r="8" ht="15.75" customHeight="1">
      <c r="A8" s="45"/>
      <c r="H8" s="46"/>
    </row>
    <row r="9" ht="15.75" customHeight="1">
      <c r="A9" s="45"/>
      <c r="H9" s="46"/>
    </row>
    <row r="10" ht="15.75" customHeight="1">
      <c r="A10" s="45"/>
      <c r="H10" s="46"/>
    </row>
    <row r="11" ht="15.75" customHeight="1">
      <c r="A11" s="45"/>
      <c r="H11" s="46"/>
    </row>
    <row r="12" ht="15.75" customHeight="1">
      <c r="A12" s="45"/>
      <c r="H12" s="46"/>
    </row>
    <row r="13" ht="15.75" customHeight="1">
      <c r="A13" s="45"/>
      <c r="H13" s="46"/>
    </row>
    <row r="14" ht="15.75" customHeight="1">
      <c r="A14" s="45"/>
      <c r="H14" s="46"/>
    </row>
    <row r="15" ht="15.75" customHeight="1">
      <c r="A15" s="45"/>
    </row>
    <row r="16" ht="15.75" customHeight="1">
      <c r="A16" s="45"/>
    </row>
    <row r="17" ht="15.75" customHeight="1">
      <c r="A17" s="45"/>
    </row>
    <row r="18" ht="15.75" customHeight="1">
      <c r="A18" s="45"/>
    </row>
    <row r="19" ht="15.75" customHeight="1">
      <c r="A19" s="45"/>
      <c r="H19" s="46"/>
    </row>
    <row r="20" ht="15.75" customHeight="1">
      <c r="A20" s="45"/>
      <c r="H20" s="46"/>
    </row>
    <row r="21" ht="15.75" customHeight="1">
      <c r="A21" s="45"/>
      <c r="H21" s="46"/>
    </row>
    <row r="22" ht="15.75" customHeight="1">
      <c r="A22" s="45"/>
      <c r="H22" s="46"/>
      <c r="I22" s="46"/>
    </row>
    <row r="23" ht="15.75" customHeight="1">
      <c r="A23" s="45"/>
      <c r="H23" s="46"/>
      <c r="I23" s="46"/>
    </row>
    <row r="24" ht="15.75" customHeight="1">
      <c r="A24" s="45"/>
      <c r="H24" s="46"/>
      <c r="I24" s="46"/>
    </row>
    <row r="25" ht="15.75" customHeight="1">
      <c r="A25" s="45"/>
      <c r="H25" s="46"/>
      <c r="I25" s="46"/>
    </row>
    <row r="26" ht="15.75" customHeight="1">
      <c r="A26" s="45"/>
      <c r="H26" s="46"/>
    </row>
    <row r="27" ht="15.75" customHeight="1">
      <c r="A27" s="45"/>
      <c r="H27" s="46"/>
    </row>
    <row r="28" ht="15.75" customHeight="1">
      <c r="A28" s="45"/>
      <c r="H28" s="46"/>
    </row>
    <row r="29" ht="15.75" customHeight="1">
      <c r="A29" s="45"/>
      <c r="H29" s="46"/>
    </row>
    <row r="30" ht="15.75" customHeight="1">
      <c r="A30" s="45"/>
      <c r="H30" s="46"/>
    </row>
    <row r="31" ht="15.75" customHeight="1">
      <c r="A31" s="45"/>
      <c r="H31" s="46"/>
    </row>
    <row r="32" ht="15.75" customHeight="1">
      <c r="A32" s="45"/>
      <c r="H32" s="46"/>
    </row>
    <row r="33" ht="15.75" customHeight="1">
      <c r="A33" s="45"/>
      <c r="H33" s="46"/>
    </row>
    <row r="34" ht="15.75" customHeight="1">
      <c r="A34" s="45"/>
      <c r="H34" s="46"/>
    </row>
    <row r="35" ht="15.75" customHeight="1">
      <c r="A35" s="45"/>
      <c r="H35" s="46"/>
    </row>
    <row r="36" ht="15.75" customHeight="1">
      <c r="A36" s="45"/>
      <c r="H36" s="46"/>
    </row>
    <row r="37" ht="15.75" customHeight="1">
      <c r="A37" s="45"/>
      <c r="H37" s="46"/>
    </row>
    <row r="38" ht="15.75" customHeight="1">
      <c r="A38" s="45"/>
      <c r="H38" s="46"/>
    </row>
    <row r="39" ht="15.75" customHeight="1">
      <c r="A39" s="45"/>
      <c r="H39" s="46"/>
    </row>
    <row r="40" ht="15.75" customHeight="1">
      <c r="A40" s="45"/>
      <c r="H40" s="46"/>
    </row>
    <row r="41" ht="15.75" customHeight="1">
      <c r="A41" s="45"/>
      <c r="H41" s="46"/>
    </row>
    <row r="42" ht="15.75" customHeight="1">
      <c r="A42" s="45"/>
      <c r="H42" s="46"/>
    </row>
    <row r="43" ht="15.75" customHeight="1">
      <c r="A43" s="45"/>
      <c r="H43" s="46"/>
    </row>
    <row r="44" ht="15.75" customHeight="1">
      <c r="A44" s="45"/>
      <c r="H44" s="46"/>
    </row>
    <row r="45" ht="15.75" customHeight="1">
      <c r="A45" s="45"/>
      <c r="H45" s="46"/>
    </row>
    <row r="46" ht="15.75" customHeight="1">
      <c r="A46" s="45"/>
      <c r="H46" s="46"/>
    </row>
    <row r="47" ht="15.75" customHeight="1">
      <c r="A47" s="45"/>
      <c r="H47" s="46"/>
    </row>
    <row r="48" ht="15.75" customHeight="1">
      <c r="A48" s="45"/>
      <c r="H48" s="46"/>
    </row>
    <row r="49" ht="15.75" customHeight="1">
      <c r="A49" s="45"/>
      <c r="H49" s="46"/>
    </row>
    <row r="50" ht="15.75" customHeight="1">
      <c r="A50" s="45"/>
      <c r="H50" s="46"/>
    </row>
    <row r="51" ht="15.75" customHeight="1">
      <c r="A51" s="45"/>
      <c r="H51" s="46"/>
    </row>
    <row r="52" ht="15.75" customHeight="1">
      <c r="A52" s="45"/>
      <c r="H52" s="46"/>
    </row>
    <row r="53" ht="15.75" customHeight="1">
      <c r="A53" s="45"/>
      <c r="H53" s="46"/>
    </row>
    <row r="54" ht="15.75" customHeight="1">
      <c r="A54" s="45"/>
      <c r="H54" s="46"/>
    </row>
    <row r="55" ht="15.75" customHeight="1">
      <c r="A55" s="45"/>
      <c r="H55" s="46"/>
    </row>
    <row r="56" ht="15.75" customHeight="1">
      <c r="A56" s="45"/>
      <c r="H56" s="46"/>
    </row>
    <row r="57" ht="15.75" customHeight="1">
      <c r="A57" s="45"/>
      <c r="H57" s="46"/>
    </row>
    <row r="58" ht="15.75" customHeight="1">
      <c r="A58" s="45"/>
      <c r="H58" s="46"/>
    </row>
    <row r="59" ht="15.75" customHeight="1">
      <c r="A59" s="45"/>
      <c r="H59" s="46"/>
    </row>
    <row r="60" ht="15.75" customHeight="1">
      <c r="A60" s="45"/>
      <c r="H60" s="46"/>
    </row>
    <row r="61" ht="15.75" customHeight="1">
      <c r="A61" s="45"/>
      <c r="H61" s="46"/>
    </row>
    <row r="62" ht="15.75" customHeight="1">
      <c r="A62" s="45"/>
      <c r="H62" s="46"/>
    </row>
    <row r="63" ht="15.75" customHeight="1">
      <c r="A63" s="45"/>
      <c r="H63" s="46"/>
    </row>
    <row r="64" ht="15.75" customHeight="1">
      <c r="A64" s="45"/>
      <c r="H64" s="46"/>
    </row>
    <row r="65" ht="15.75" customHeight="1">
      <c r="A65" s="45"/>
      <c r="H65" s="46"/>
    </row>
    <row r="66" ht="15.75" customHeight="1">
      <c r="A66" s="45"/>
      <c r="H66" s="46"/>
    </row>
    <row r="67" ht="15.75" customHeight="1">
      <c r="A67" s="45"/>
      <c r="H67" s="46"/>
    </row>
    <row r="68" ht="15.75" customHeight="1">
      <c r="A68" s="45"/>
      <c r="H68" s="46"/>
    </row>
    <row r="69" ht="15.75" customHeight="1">
      <c r="A69" s="45"/>
      <c r="H69" s="46"/>
    </row>
    <row r="70" ht="15.75" customHeight="1">
      <c r="A70" s="45"/>
      <c r="H70" s="46"/>
    </row>
    <row r="71" ht="15.75" customHeight="1">
      <c r="A71" s="45"/>
      <c r="H71" s="46"/>
    </row>
    <row r="72" ht="15.75" customHeight="1">
      <c r="A72" s="45"/>
      <c r="H72" s="46"/>
    </row>
    <row r="73" ht="15.75" customHeight="1">
      <c r="A73" s="45"/>
      <c r="H73" s="46"/>
    </row>
    <row r="74" ht="15.75" customHeight="1">
      <c r="A74" s="45"/>
      <c r="H74" s="46"/>
    </row>
    <row r="75" ht="15.75" customHeight="1">
      <c r="A75" s="45"/>
      <c r="H75" s="46"/>
    </row>
    <row r="76" ht="15.75" customHeight="1">
      <c r="A76" s="45"/>
      <c r="H76" s="46"/>
    </row>
    <row r="77" ht="15.75" customHeight="1">
      <c r="A77" s="45"/>
      <c r="H77" s="46"/>
    </row>
    <row r="78" ht="15.75" customHeight="1">
      <c r="A78" s="45"/>
      <c r="H78" s="46"/>
    </row>
    <row r="79" ht="15.75" customHeight="1">
      <c r="A79" s="45"/>
      <c r="H79" s="46"/>
    </row>
    <row r="80" ht="15.75" customHeight="1">
      <c r="A80" s="45"/>
      <c r="H80" s="46"/>
    </row>
    <row r="81" ht="15.75" customHeight="1">
      <c r="A81" s="45"/>
      <c r="H81" s="46"/>
    </row>
    <row r="82" ht="15.75" customHeight="1">
      <c r="A82" s="45"/>
      <c r="H82" s="46"/>
    </row>
    <row r="83" ht="15.75" customHeight="1">
      <c r="A83" s="45"/>
      <c r="H83" s="46"/>
    </row>
    <row r="84" ht="15.75" customHeight="1">
      <c r="A84" s="45"/>
      <c r="H84" s="46"/>
    </row>
    <row r="85" ht="15.75" customHeight="1">
      <c r="A85" s="45"/>
      <c r="H85" s="46"/>
    </row>
    <row r="86" ht="15.75" customHeight="1">
      <c r="A86" s="45"/>
      <c r="H86" s="46"/>
    </row>
    <row r="87" ht="15.75" customHeight="1">
      <c r="A87" s="45"/>
      <c r="H87" s="46"/>
    </row>
    <row r="88" ht="15.75" customHeight="1">
      <c r="A88" s="45"/>
      <c r="H88" s="46"/>
    </row>
    <row r="89" ht="15.75" customHeight="1">
      <c r="A89" s="45"/>
      <c r="H89" s="46"/>
    </row>
    <row r="90" ht="15.75" customHeight="1">
      <c r="A90" s="45"/>
      <c r="H90" s="46"/>
    </row>
    <row r="91" ht="15.75" customHeight="1">
      <c r="A91" s="45"/>
      <c r="H91" s="46"/>
    </row>
    <row r="92" ht="15.75" customHeight="1">
      <c r="A92" s="45"/>
      <c r="H92" s="46"/>
    </row>
    <row r="93" ht="15.75" customHeight="1">
      <c r="A93" s="45"/>
      <c r="H93" s="46"/>
    </row>
    <row r="94" ht="15.75" customHeight="1">
      <c r="A94" s="45"/>
      <c r="H94" s="46"/>
    </row>
    <row r="95" ht="15.75" customHeight="1">
      <c r="A95" s="45"/>
      <c r="H95" s="46"/>
    </row>
    <row r="96" ht="15.75" customHeight="1">
      <c r="A96" s="45"/>
      <c r="H96" s="46"/>
    </row>
    <row r="97" ht="15.75" customHeight="1">
      <c r="A97" s="45"/>
      <c r="H97" s="46"/>
    </row>
    <row r="98" ht="15.75" customHeight="1">
      <c r="A98" s="45"/>
      <c r="H98" s="46"/>
    </row>
    <row r="99" ht="15.75" customHeight="1">
      <c r="A99" s="45"/>
      <c r="H99" s="46"/>
    </row>
    <row r="100" ht="15.75" customHeight="1">
      <c r="A100" s="45"/>
      <c r="H100" s="46"/>
    </row>
    <row r="101" ht="15.75" customHeight="1">
      <c r="A101" s="45"/>
      <c r="H101" s="46"/>
    </row>
    <row r="102" ht="15.75" customHeight="1">
      <c r="A102" s="45"/>
      <c r="H102" s="46"/>
    </row>
    <row r="103" ht="15.75" customHeight="1">
      <c r="A103" s="45"/>
      <c r="H103" s="46"/>
    </row>
    <row r="104" ht="15.75" customHeight="1">
      <c r="A104" s="45"/>
      <c r="H104" s="46"/>
    </row>
    <row r="105" ht="15.75" customHeight="1">
      <c r="A105" s="45"/>
      <c r="H105" s="46"/>
    </row>
    <row r="106" ht="15.75" customHeight="1">
      <c r="A106" s="45"/>
      <c r="H106" s="46"/>
    </row>
    <row r="107" ht="15.75" customHeight="1">
      <c r="A107" s="45"/>
      <c r="H107" s="46"/>
    </row>
    <row r="108" ht="15.75" customHeight="1">
      <c r="A108" s="45"/>
      <c r="H108" s="46"/>
    </row>
    <row r="109" ht="15.75" customHeight="1">
      <c r="A109" s="45"/>
      <c r="H109" s="46"/>
    </row>
    <row r="110" ht="15.75" customHeight="1">
      <c r="A110" s="45"/>
      <c r="H110" s="46"/>
    </row>
    <row r="111" ht="15.75" customHeight="1">
      <c r="A111" s="45"/>
      <c r="H111" s="46"/>
    </row>
    <row r="112" ht="15.75" customHeight="1">
      <c r="A112" s="45"/>
      <c r="H112" s="46"/>
    </row>
    <row r="113" ht="15.75" customHeight="1">
      <c r="A113" s="45"/>
      <c r="H113" s="46"/>
    </row>
    <row r="114" ht="15.75" customHeight="1">
      <c r="A114" s="45"/>
      <c r="H114" s="46"/>
    </row>
    <row r="115" ht="15.75" customHeight="1">
      <c r="A115" s="45"/>
      <c r="H115" s="46"/>
    </row>
    <row r="116" ht="15.75" customHeight="1">
      <c r="A116" s="45"/>
      <c r="H116" s="46"/>
    </row>
    <row r="117" ht="15.75" customHeight="1">
      <c r="A117" s="45"/>
      <c r="H117" s="46"/>
    </row>
    <row r="118" ht="15.75" customHeight="1">
      <c r="A118" s="45"/>
      <c r="H118" s="46"/>
    </row>
    <row r="119" ht="15.75" customHeight="1">
      <c r="A119" s="45"/>
      <c r="H119" s="46"/>
    </row>
    <row r="120" ht="15.75" customHeight="1">
      <c r="A120" s="45"/>
      <c r="H120" s="46"/>
    </row>
    <row r="121" ht="15.75" customHeight="1">
      <c r="A121" s="45"/>
      <c r="H121" s="46"/>
    </row>
    <row r="122" ht="15.75" customHeight="1">
      <c r="A122" s="45"/>
      <c r="H122" s="46"/>
    </row>
    <row r="123" ht="15.75" customHeight="1">
      <c r="A123" s="45"/>
      <c r="H123" s="46"/>
    </row>
    <row r="124" ht="15.75" customHeight="1">
      <c r="A124" s="45"/>
      <c r="H124" s="46"/>
    </row>
    <row r="125" ht="15.75" customHeight="1">
      <c r="A125" s="45"/>
      <c r="H125" s="46"/>
    </row>
    <row r="126" ht="15.75" customHeight="1">
      <c r="A126" s="45"/>
      <c r="H126" s="46"/>
    </row>
    <row r="127" ht="15.75" customHeight="1">
      <c r="A127" s="45"/>
      <c r="H127" s="46"/>
    </row>
    <row r="128" ht="15.75" customHeight="1">
      <c r="A128" s="45"/>
      <c r="H128" s="46"/>
    </row>
    <row r="129" ht="15.75" customHeight="1">
      <c r="A129" s="45"/>
      <c r="H129" s="46"/>
    </row>
    <row r="130" ht="15.75" customHeight="1">
      <c r="A130" s="45"/>
      <c r="H130" s="46"/>
    </row>
    <row r="131" ht="15.75" customHeight="1">
      <c r="A131" s="45"/>
      <c r="H131" s="46"/>
    </row>
    <row r="132" ht="15.75" customHeight="1">
      <c r="A132" s="45"/>
      <c r="H132" s="46"/>
    </row>
    <row r="133" ht="15.75" customHeight="1">
      <c r="A133" s="45"/>
      <c r="H133" s="46"/>
    </row>
    <row r="134" ht="15.75" customHeight="1">
      <c r="A134" s="45"/>
      <c r="H134" s="46"/>
    </row>
    <row r="135" ht="15.75" customHeight="1">
      <c r="A135" s="45"/>
      <c r="H135" s="46"/>
    </row>
    <row r="136" ht="15.75" customHeight="1">
      <c r="A136" s="45"/>
      <c r="H136" s="46"/>
    </row>
    <row r="137" ht="15.75" customHeight="1">
      <c r="A137" s="45"/>
      <c r="H137" s="46"/>
    </row>
    <row r="138" ht="15.75" customHeight="1">
      <c r="A138" s="45"/>
      <c r="H138" s="46"/>
    </row>
    <row r="139" ht="15.75" customHeight="1">
      <c r="A139" s="45"/>
      <c r="H139" s="46"/>
    </row>
    <row r="140" ht="15.75" customHeight="1">
      <c r="A140" s="45"/>
      <c r="H140" s="46"/>
    </row>
    <row r="141" ht="15.75" customHeight="1">
      <c r="A141" s="45"/>
      <c r="H141" s="46"/>
    </row>
    <row r="142" ht="15.75" customHeight="1">
      <c r="A142" s="45"/>
      <c r="H142" s="46"/>
    </row>
    <row r="143" ht="15.75" customHeight="1">
      <c r="A143" s="45"/>
      <c r="H143" s="46"/>
    </row>
    <row r="144" ht="15.75" customHeight="1">
      <c r="A144" s="45"/>
      <c r="H144" s="46"/>
    </row>
    <row r="145" ht="15.75" customHeight="1">
      <c r="A145" s="45"/>
      <c r="H145" s="46"/>
    </row>
    <row r="146" ht="15.75" customHeight="1">
      <c r="A146" s="45"/>
      <c r="H146" s="46"/>
    </row>
    <row r="147" ht="15.75" customHeight="1">
      <c r="A147" s="45"/>
      <c r="H147" s="46"/>
    </row>
    <row r="148" ht="15.75" customHeight="1">
      <c r="A148" s="45"/>
      <c r="H148" s="46"/>
    </row>
    <row r="149" ht="15.75" customHeight="1">
      <c r="A149" s="45"/>
      <c r="H149" s="46"/>
    </row>
    <row r="150" ht="15.75" customHeight="1">
      <c r="A150" s="45"/>
      <c r="H150" s="46"/>
    </row>
    <row r="151" ht="15.75" customHeight="1">
      <c r="A151" s="45"/>
      <c r="H151" s="46"/>
    </row>
    <row r="152" ht="15.75" customHeight="1">
      <c r="A152" s="45"/>
      <c r="H152" s="46"/>
    </row>
    <row r="153" ht="15.75" customHeight="1">
      <c r="A153" s="45"/>
      <c r="H153" s="46"/>
    </row>
    <row r="154" ht="15.75" customHeight="1">
      <c r="A154" s="45"/>
      <c r="H154" s="46"/>
    </row>
    <row r="155" ht="15.75" customHeight="1">
      <c r="A155" s="45"/>
      <c r="H155" s="46"/>
    </row>
    <row r="156" ht="15.75" customHeight="1">
      <c r="A156" s="45"/>
      <c r="H156" s="46"/>
    </row>
    <row r="157" ht="15.75" customHeight="1">
      <c r="A157" s="45"/>
      <c r="H157" s="46"/>
    </row>
    <row r="158" ht="15.75" customHeight="1">
      <c r="A158" s="45"/>
      <c r="H158" s="46"/>
    </row>
    <row r="159" ht="15.75" customHeight="1">
      <c r="A159" s="45"/>
      <c r="H159" s="46"/>
    </row>
    <row r="160" ht="15.75" customHeight="1">
      <c r="A160" s="45"/>
      <c r="H160" s="46"/>
    </row>
    <row r="161" ht="15.75" customHeight="1">
      <c r="A161" s="45"/>
      <c r="H161" s="46"/>
    </row>
    <row r="162" ht="15.75" customHeight="1">
      <c r="A162" s="45"/>
      <c r="H162" s="46"/>
    </row>
    <row r="163" ht="15.75" customHeight="1">
      <c r="A163" s="45"/>
      <c r="H163" s="46"/>
    </row>
    <row r="164" ht="15.75" customHeight="1">
      <c r="A164" s="45"/>
      <c r="H164" s="46"/>
    </row>
    <row r="165" ht="15.75" customHeight="1">
      <c r="A165" s="45"/>
      <c r="H165" s="46"/>
    </row>
    <row r="166" ht="15.75" customHeight="1">
      <c r="A166" s="45"/>
      <c r="H166" s="46"/>
    </row>
    <row r="167" ht="15.75" customHeight="1">
      <c r="A167" s="45"/>
      <c r="H167" s="46"/>
    </row>
    <row r="168" ht="15.75" customHeight="1">
      <c r="A168" s="45"/>
      <c r="H168" s="46"/>
    </row>
    <row r="169" ht="15.75" customHeight="1">
      <c r="A169" s="45"/>
      <c r="H169" s="46"/>
    </row>
    <row r="170" ht="15.75" customHeight="1">
      <c r="A170" s="45"/>
      <c r="H170" s="46"/>
    </row>
    <row r="171" ht="15.75" customHeight="1">
      <c r="A171" s="45"/>
      <c r="H171" s="46"/>
    </row>
    <row r="172" ht="15.75" customHeight="1">
      <c r="A172" s="45"/>
      <c r="H172" s="46"/>
    </row>
    <row r="173" ht="15.75" customHeight="1">
      <c r="A173" s="45"/>
      <c r="H173" s="46"/>
    </row>
    <row r="174" ht="15.75" customHeight="1">
      <c r="A174" s="45"/>
      <c r="H174" s="46"/>
    </row>
    <row r="175" ht="15.75" customHeight="1">
      <c r="A175" s="45"/>
      <c r="H175" s="46"/>
    </row>
    <row r="176" ht="15.75" customHeight="1">
      <c r="A176" s="45"/>
      <c r="H176" s="46"/>
    </row>
    <row r="177" ht="15.75" customHeight="1">
      <c r="A177" s="45"/>
      <c r="H177" s="46"/>
    </row>
    <row r="178" ht="15.75" customHeight="1">
      <c r="A178" s="45"/>
      <c r="H178" s="46"/>
    </row>
    <row r="179" ht="15.75" customHeight="1">
      <c r="A179" s="45"/>
      <c r="H179" s="46"/>
    </row>
    <row r="180" ht="15.75" customHeight="1">
      <c r="A180" s="45"/>
      <c r="H180" s="46"/>
    </row>
    <row r="181" ht="15.75" customHeight="1">
      <c r="A181" s="45"/>
      <c r="H181" s="46"/>
    </row>
    <row r="182" ht="15.75" customHeight="1">
      <c r="A182" s="45"/>
      <c r="H182" s="46"/>
    </row>
    <row r="183" ht="15.75" customHeight="1">
      <c r="A183" s="45"/>
      <c r="H183" s="46"/>
    </row>
    <row r="184" ht="15.75" customHeight="1">
      <c r="A184" s="45"/>
      <c r="H184" s="46"/>
    </row>
    <row r="185" ht="15.75" customHeight="1">
      <c r="A185" s="45"/>
      <c r="H185" s="46"/>
    </row>
    <row r="186" ht="15.75" customHeight="1">
      <c r="A186" s="45"/>
      <c r="H186" s="46"/>
    </row>
    <row r="187" ht="15.75" customHeight="1">
      <c r="A187" s="45"/>
      <c r="H187" s="46"/>
    </row>
    <row r="188" ht="15.75" customHeight="1">
      <c r="A188" s="45"/>
      <c r="H188" s="46"/>
    </row>
    <row r="189" ht="15.75" customHeight="1">
      <c r="A189" s="45"/>
      <c r="H189" s="46"/>
    </row>
    <row r="190" ht="15.75" customHeight="1">
      <c r="A190" s="45"/>
      <c r="H190" s="46"/>
    </row>
    <row r="191" ht="15.75" customHeight="1">
      <c r="A191" s="45"/>
      <c r="H191" s="46"/>
    </row>
    <row r="192" ht="15.75" customHeight="1">
      <c r="A192" s="45"/>
      <c r="H192" s="46"/>
    </row>
    <row r="193" ht="15.75" customHeight="1">
      <c r="A193" s="45"/>
      <c r="H193" s="46"/>
    </row>
    <row r="194" ht="15.75" customHeight="1">
      <c r="A194" s="45"/>
      <c r="H194" s="46"/>
    </row>
    <row r="195" ht="15.75" customHeight="1">
      <c r="A195" s="45"/>
      <c r="H195" s="46"/>
    </row>
    <row r="196" ht="15.75" customHeight="1">
      <c r="A196" s="45"/>
      <c r="H196" s="46"/>
    </row>
    <row r="197" ht="15.75" customHeight="1">
      <c r="A197" s="45"/>
      <c r="H197" s="46"/>
    </row>
    <row r="198" ht="15.75" customHeight="1">
      <c r="A198" s="45"/>
      <c r="H198" s="46"/>
    </row>
    <row r="199" ht="15.75" customHeight="1">
      <c r="A199" s="45"/>
      <c r="H199" s="46"/>
    </row>
    <row r="200" ht="15.75" customHeight="1">
      <c r="A200" s="45"/>
      <c r="H200" s="46"/>
    </row>
    <row r="201" ht="15.75" customHeight="1">
      <c r="A201" s="45"/>
      <c r="H201" s="46"/>
    </row>
    <row r="202" ht="15.75" customHeight="1">
      <c r="A202" s="45"/>
      <c r="H202" s="46"/>
    </row>
    <row r="203" ht="15.75" customHeight="1">
      <c r="A203" s="45"/>
      <c r="H203" s="46"/>
    </row>
    <row r="204" ht="15.75" customHeight="1">
      <c r="A204" s="45"/>
      <c r="H204" s="46"/>
    </row>
    <row r="205" ht="15.75" customHeight="1">
      <c r="A205" s="45"/>
      <c r="H205" s="46"/>
    </row>
    <row r="206" ht="15.75" customHeight="1">
      <c r="A206" s="45"/>
      <c r="H206" s="46"/>
    </row>
    <row r="207" ht="15.75" customHeight="1">
      <c r="A207" s="45"/>
      <c r="H207" s="46"/>
    </row>
    <row r="208" ht="15.75" customHeight="1">
      <c r="A208" s="45"/>
      <c r="H208" s="46"/>
    </row>
    <row r="209" ht="15.75" customHeight="1">
      <c r="A209" s="45"/>
      <c r="H209" s="46"/>
    </row>
    <row r="210" ht="15.75" customHeight="1">
      <c r="A210" s="45"/>
      <c r="H210" s="46"/>
    </row>
    <row r="211" ht="15.75" customHeight="1">
      <c r="A211" s="45"/>
      <c r="H211" s="46"/>
    </row>
    <row r="212" ht="15.75" customHeight="1">
      <c r="A212" s="45"/>
      <c r="H212" s="46"/>
    </row>
    <row r="213" ht="15.75" customHeight="1">
      <c r="A213" s="45"/>
      <c r="H213" s="46"/>
    </row>
    <row r="214" ht="15.75" customHeight="1">
      <c r="A214" s="45"/>
      <c r="H214" s="46"/>
    </row>
    <row r="215" ht="15.75" customHeight="1">
      <c r="A215" s="45"/>
      <c r="H215" s="46"/>
    </row>
    <row r="216" ht="15.75" customHeight="1">
      <c r="A216" s="45"/>
      <c r="H216" s="46"/>
    </row>
    <row r="217" ht="15.75" customHeight="1">
      <c r="A217" s="45"/>
      <c r="H217" s="46"/>
    </row>
    <row r="218" ht="15.75" customHeight="1">
      <c r="A218" s="45"/>
      <c r="H218" s="46"/>
    </row>
    <row r="219" ht="15.75" customHeight="1">
      <c r="A219" s="45"/>
      <c r="H219" s="46"/>
    </row>
    <row r="220" ht="15.75" customHeight="1">
      <c r="A220" s="45"/>
      <c r="H220" s="4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11" max="11" width="17.38"/>
  </cols>
  <sheetData>
    <row r="1" ht="17.25" customHeight="1">
      <c r="A1" s="4" t="str">
        <f>IFERROR(__xludf.DUMMYFUNCTION("UNIQUE(
  FILTER(
    {'Transaction History'!L:L,#REF!},
    'Transaction History'!L:L&lt;&gt;"""",
    'Transaction History'!B:B&lt;&gt;""Deposit""
  )
)"),"#REF!")</f>
        <v>#REF!</v>
      </c>
      <c r="B1" s="5" t="s">
        <v>19</v>
      </c>
      <c r="C1" s="6" t="s">
        <v>20</v>
      </c>
      <c r="D1" s="5" t="s">
        <v>21</v>
      </c>
      <c r="E1" s="5" t="s">
        <v>22</v>
      </c>
      <c r="F1" s="5" t="s">
        <v>23</v>
      </c>
      <c r="G1" s="6" t="s">
        <v>24</v>
      </c>
      <c r="H1" s="7" t="s">
        <v>26</v>
      </c>
      <c r="I1" s="9" t="s">
        <v>27</v>
      </c>
      <c r="J1" s="10" t="s">
        <v>30</v>
      </c>
      <c r="K1" s="11" t="s">
        <v>32</v>
      </c>
    </row>
    <row r="2" ht="15.75" customHeight="1">
      <c r="A2" s="12"/>
      <c r="B2" s="14"/>
      <c r="C2" s="12">
        <v>0.0</v>
      </c>
      <c r="D2" s="18" t="str">
        <f>COUNTIFS('Transaction History'!L:L,$A2,
          #REF!,$B2,
          'Transaction History'!B:B,"Bet Stake")</f>
        <v>#VALUE!</v>
      </c>
      <c r="E2" s="12" t="str">
        <f>COUNTIFS('Transaction History'!L:L,$A2,
          #REF!,$B2,
          #REF!,"Win")</f>
        <v>#VALUE!</v>
      </c>
      <c r="F2" s="14" t="str">
        <f>COUNTIFS('Transaction History'!L:L,$A2,
          #REF!,$B2,
          #REF!,"Loss")</f>
        <v>#VALUE!</v>
      </c>
      <c r="G2" s="14" t="str">
        <f t="shared" ref="G2:G52" si="1">E2+F2</f>
        <v>#VALUE!</v>
      </c>
      <c r="H2" s="21" t="str">
        <f t="shared" ref="H2:H52" si="2">E2/G2</f>
        <v>#VALUE!</v>
      </c>
      <c r="I2" s="22" t="str">
        <f>SUMIFS(#REF!,
        'Transaction History'!L:L,$A2,
        #REF!,$B2)
-
SUMIFS(#REF!,
        'Transaction History'!L:L,$A2,
        #REF!,$B2)</f>
        <v>#N/A</v>
      </c>
      <c r="J2" s="21">
        <f>IFERROR(
   (SUMIFS(#REF!,
           'Transaction History'!L:L,$A2,
           #REF!,$B2)
   -
    SUMIFS(#REF!,
           'Transaction History'!L:L,$A2,
           #REF!,$B2))
   /
   ABS(SUMIFS('Transaction History'!F:F,
              'Transaction History'!L:L,$A2,
              #REF!,$B2,
              'Transaction History'!B:B,"Bet Stake")),
0)</f>
        <v>0</v>
      </c>
      <c r="K2" s="24">
        <f t="shared" ref="K2:K52" si="3">SUMIFS($I:$I, $A:$A, A2, $C:$C, "&lt;=" &amp; C2)</f>
        <v>0</v>
      </c>
    </row>
    <row r="3" ht="15.75" customHeight="1">
      <c r="A3" s="25"/>
      <c r="B3" s="27"/>
      <c r="C3" s="25">
        <v>0.0</v>
      </c>
      <c r="D3" s="28" t="str">
        <f>COUNTIFS('Transaction History'!L:L,$A3,
          #REF!,$B3,
          'Transaction History'!B:B,"Bet Stake")</f>
        <v>#VALUE!</v>
      </c>
      <c r="E3" s="25" t="str">
        <f>COUNTIFS('Transaction History'!L:L,$A3,
          #REF!,$B3,
          #REF!,"Win")</f>
        <v>#VALUE!</v>
      </c>
      <c r="F3" s="27" t="str">
        <f>COUNTIFS('Transaction History'!L:L,$A3,
          #REF!,$B3,
          #REF!,"Loss")</f>
        <v>#VALUE!</v>
      </c>
      <c r="G3" s="27" t="str">
        <f t="shared" si="1"/>
        <v>#VALUE!</v>
      </c>
      <c r="H3" s="32" t="str">
        <f t="shared" si="2"/>
        <v>#VALUE!</v>
      </c>
      <c r="I3" s="33" t="str">
        <f>SUMIFS(#REF!,
        'Transaction History'!L:L,$A3,
        #REF!,$B3)
-
SUMIFS(#REF!,
        'Transaction History'!L:L,$A3,
        #REF!,$B3)</f>
        <v>#N/A</v>
      </c>
      <c r="J3" s="32">
        <f>IFERROR(
   (SUMIFS(#REF!,
           'Transaction History'!L:L,$A3,
           #REF!,$B3)
   -
    SUMIFS(#REF!,
           'Transaction History'!L:L,$A3,
           #REF!,$B3))
   /
   ABS(SUMIFS('Transaction History'!F:F,
              'Transaction History'!L:L,$A3,
              #REF!,$B3,
              'Transaction History'!B:B,"Bet Stake")),
0)</f>
        <v>0</v>
      </c>
      <c r="K3" s="34">
        <f t="shared" si="3"/>
        <v>0</v>
      </c>
    </row>
    <row r="4" ht="15.75" customHeight="1">
      <c r="A4" s="35"/>
      <c r="B4" s="36"/>
      <c r="C4" s="35">
        <v>0.0</v>
      </c>
      <c r="D4" s="37" t="str">
        <f>COUNTIFS('Transaction History'!L:L,$A4,
          #REF!,$B4,
          'Transaction History'!B:B,"Bet Stake")</f>
        <v>#VALUE!</v>
      </c>
      <c r="E4" s="35" t="str">
        <f>COUNTIFS('Transaction History'!L:L,$A4,
          #REF!,$B4,
          #REF!,"Win")</f>
        <v>#VALUE!</v>
      </c>
      <c r="F4" s="36" t="str">
        <f>COUNTIFS('Transaction History'!L:L,$A4,
          #REF!,$B4,
          #REF!,"Loss")</f>
        <v>#VALUE!</v>
      </c>
      <c r="G4" s="27" t="str">
        <f t="shared" si="1"/>
        <v>#VALUE!</v>
      </c>
      <c r="H4" s="39" t="str">
        <f t="shared" si="2"/>
        <v>#VALUE!</v>
      </c>
      <c r="I4" s="40" t="str">
        <f>SUMIFS(#REF!,
        'Transaction History'!L:L,$A4,
        #REF!,$B4)
-
SUMIFS(#REF!,
        'Transaction History'!L:L,$A4,
        #REF!,$B4)</f>
        <v>#N/A</v>
      </c>
      <c r="J4" s="39">
        <f>IFERROR(
   (SUMIFS(#REF!,
           'Transaction History'!L:L,$A4,
           #REF!,$B4)
   -
    SUMIFS(#REF!,
           'Transaction History'!L:L,$A4,
           #REF!,$B4))
   /
   ABS(SUMIFS('Transaction History'!F:F,
              'Transaction History'!L:L,$A4,
              #REF!,$B4,
              'Transaction History'!B:B,"Bet Stake")),
0)</f>
        <v>0</v>
      </c>
      <c r="K4" s="41">
        <f t="shared" si="3"/>
        <v>0</v>
      </c>
    </row>
    <row r="5" ht="15.75" customHeight="1">
      <c r="A5" s="12"/>
      <c r="B5" s="12"/>
      <c r="C5" s="25">
        <v>1.0</v>
      </c>
      <c r="D5" s="12" t="str">
        <f>COUNTIFS('Transaction History'!L:L,$A5,
          #REF!,$B5,
          'Transaction History'!B:B,"Bet Stake")</f>
        <v>#VALUE!</v>
      </c>
      <c r="E5" s="12" t="str">
        <f>COUNTIFS('Transaction History'!L:L,$A5,
          #REF!,$B5,
          #REF!,"Win")</f>
        <v>#VALUE!</v>
      </c>
      <c r="F5" s="14" t="str">
        <f>COUNTIFS('Transaction History'!L:L,$A5,
          #REF!,$B5,
          #REF!,"Loss")</f>
        <v>#VALUE!</v>
      </c>
      <c r="G5" s="14" t="str">
        <f t="shared" si="1"/>
        <v>#VALUE!</v>
      </c>
      <c r="H5" s="21" t="str">
        <f t="shared" si="2"/>
        <v>#VALUE!</v>
      </c>
      <c r="I5" s="22" t="str">
        <f>SUMIFS(#REF!,
        'Transaction History'!L:L,$A5,
        #REF!,$B5)
-
SUMIFS(#REF!,
        'Transaction History'!L:L,$A5,
        #REF!,$B5)</f>
        <v>#N/A</v>
      </c>
      <c r="J5" s="21">
        <f>IFERROR(
   (SUMIFS(#REF!,
           'Transaction History'!L:L,$A5,
           #REF!,$B5)
   -
    SUMIFS(#REF!,
           'Transaction History'!L:L,$A5,
           #REF!,$B5))
   /
   ABS(SUMIFS('Transaction History'!F:F,
              'Transaction History'!L:L,$A5,
              #REF!,$B5,
              'Transaction History'!B:B,"Bet Stake")),
0)</f>
        <v>0</v>
      </c>
      <c r="K5" s="24">
        <f t="shared" si="3"/>
        <v>0</v>
      </c>
    </row>
    <row r="6" ht="15.75" customHeight="1">
      <c r="A6" s="25"/>
      <c r="B6" s="25"/>
      <c r="C6" s="25">
        <v>1.0</v>
      </c>
      <c r="D6" s="25" t="str">
        <f>COUNTIFS('Transaction History'!L:L,$A6,
          #REF!,$B6,
          'Transaction History'!B:B,"Bet Stake")</f>
        <v>#VALUE!</v>
      </c>
      <c r="E6" s="25" t="str">
        <f>COUNTIFS('Transaction History'!L:L,$A6,
          #REF!,$B6,
          #REF!,"Win")</f>
        <v>#VALUE!</v>
      </c>
      <c r="F6" s="27" t="str">
        <f>COUNTIFS('Transaction History'!L:L,$A6,
          #REF!,$B6,
          #REF!,"Loss")</f>
        <v>#VALUE!</v>
      </c>
      <c r="G6" s="27" t="str">
        <f t="shared" si="1"/>
        <v>#VALUE!</v>
      </c>
      <c r="H6" s="32" t="str">
        <f t="shared" si="2"/>
        <v>#VALUE!</v>
      </c>
      <c r="I6" s="33" t="str">
        <f>SUMIFS(#REF!,
        'Transaction History'!L:L,$A6,
        #REF!,$B6)
-
SUMIFS(#REF!,
        'Transaction History'!L:L,$A6,
        #REF!,$B6)</f>
        <v>#N/A</v>
      </c>
      <c r="J6" s="32">
        <f>IFERROR(
   (SUMIFS(#REF!,
           'Transaction History'!L:L,$A6,
           #REF!,$B6)
   -
    SUMIFS(#REF!,
           'Transaction History'!L:L,$A6,
           #REF!,$B6))
   /
   ABS(SUMIFS('Transaction History'!F:F,
              'Transaction History'!L:L,$A6,
              #REF!,$B6,
              'Transaction History'!B:B,"Bet Stake")),
0)</f>
        <v>0</v>
      </c>
      <c r="K6" s="34">
        <f t="shared" si="3"/>
        <v>0</v>
      </c>
    </row>
    <row r="7" ht="15.75" customHeight="1">
      <c r="A7" s="35"/>
      <c r="B7" s="35"/>
      <c r="C7" s="35">
        <v>1.0</v>
      </c>
      <c r="D7" s="35" t="str">
        <f>COUNTIFS('Transaction History'!L:L,$A7,
          #REF!,$B7,
          'Transaction History'!B:B,"Bet Stake")</f>
        <v>#VALUE!</v>
      </c>
      <c r="E7" s="35" t="str">
        <f>COUNTIFS('Transaction History'!L:L,$A7,
          #REF!,$B7,
          #REF!,"Win")</f>
        <v>#VALUE!</v>
      </c>
      <c r="F7" s="36" t="str">
        <f>COUNTIFS('Transaction History'!L:L,$A7,
          #REF!,$B7,
          #REF!,"Loss")</f>
        <v>#VALUE!</v>
      </c>
      <c r="G7" s="36" t="str">
        <f t="shared" si="1"/>
        <v>#VALUE!</v>
      </c>
      <c r="H7" s="39" t="str">
        <f t="shared" si="2"/>
        <v>#VALUE!</v>
      </c>
      <c r="I7" s="40" t="str">
        <f>SUMIFS(#REF!,
        'Transaction History'!L:L,$A7,
        #REF!,$B7)
-
SUMIFS(#REF!,
        'Transaction History'!L:L,$A7,
        #REF!,$B7)</f>
        <v>#N/A</v>
      </c>
      <c r="J7" s="39">
        <f>IFERROR(
   (SUMIFS(#REF!,
           'Transaction History'!L:L,$A7,
           #REF!,$B7)
   -
    SUMIFS(#REF!,
           'Transaction History'!L:L,$A7,
           #REF!,$B7))
   /
   ABS(SUMIFS('Transaction History'!F:F,
              'Transaction History'!L:L,$A7,
              #REF!,$B7,
              'Transaction History'!B:B,"Bet Stake")),
0)</f>
        <v>0</v>
      </c>
      <c r="K7" s="41">
        <f t="shared" si="3"/>
        <v>0</v>
      </c>
    </row>
    <row r="8" ht="15.75" customHeight="1">
      <c r="A8" s="12"/>
      <c r="B8" s="12"/>
      <c r="C8" s="12">
        <v>2.0</v>
      </c>
      <c r="D8" s="12" t="str">
        <f>COUNTIFS('Transaction History'!L:L,$A8,
          #REF!,$B8,
          'Transaction History'!B:B,"Bet Stake")</f>
        <v>#VALUE!</v>
      </c>
      <c r="E8" s="12" t="str">
        <f>COUNTIFS('Transaction History'!L:L,$A8,
          #REF!,$B8,
          #REF!,"Win")</f>
        <v>#VALUE!</v>
      </c>
      <c r="F8" s="14" t="str">
        <f>COUNTIFS('Transaction History'!L:L,$A8,
          #REF!,$B8,
          #REF!,"Loss")</f>
        <v>#VALUE!</v>
      </c>
      <c r="G8" s="14" t="str">
        <f t="shared" si="1"/>
        <v>#VALUE!</v>
      </c>
      <c r="H8" s="21" t="str">
        <f t="shared" si="2"/>
        <v>#VALUE!</v>
      </c>
      <c r="I8" s="22" t="str">
        <f>SUMIFS(#REF!,
        'Transaction History'!L:L,$A8,
        #REF!,$B8)
-
SUMIFS(#REF!,
        'Transaction History'!L:L,$A8,
        #REF!,$B8)</f>
        <v>#N/A</v>
      </c>
      <c r="J8" s="21">
        <f>IFERROR(
   (SUMIFS(#REF!,
           'Transaction History'!L:L,$A8,
           #REF!,$B8)
   -
    SUMIFS(#REF!,
           'Transaction History'!L:L,$A8,
           #REF!,$B8))
   /
   ABS(SUMIFS('Transaction History'!F:F,
              'Transaction History'!L:L,$A8,
              #REF!,$B8,
              'Transaction History'!B:B,"Bet Stake")),
0)</f>
        <v>0</v>
      </c>
      <c r="K8" s="24">
        <f t="shared" si="3"/>
        <v>0</v>
      </c>
    </row>
    <row r="9" ht="15.75" customHeight="1">
      <c r="A9" s="25"/>
      <c r="B9" s="25"/>
      <c r="C9" s="25">
        <v>2.0</v>
      </c>
      <c r="D9" s="25" t="str">
        <f>COUNTIFS('Transaction History'!L:L,$A9,
          #REF!,$B9,
          'Transaction History'!B:B,"Bet Stake")</f>
        <v>#VALUE!</v>
      </c>
      <c r="E9" s="25" t="str">
        <f>COUNTIFS('Transaction History'!L:L,$A9,
          #REF!,$B9,
          #REF!,"Win")</f>
        <v>#VALUE!</v>
      </c>
      <c r="F9" s="27" t="str">
        <f>COUNTIFS('Transaction History'!L:L,$A9,
          #REF!,$B9,
          #REF!,"Loss")</f>
        <v>#VALUE!</v>
      </c>
      <c r="G9" s="27" t="str">
        <f t="shared" si="1"/>
        <v>#VALUE!</v>
      </c>
      <c r="H9" s="32" t="str">
        <f t="shared" si="2"/>
        <v>#VALUE!</v>
      </c>
      <c r="I9" s="33" t="str">
        <f>SUMIFS(#REF!,
        'Transaction History'!L:L,$A9,
        #REF!,$B9)
-
SUMIFS(#REF!,
        'Transaction History'!L:L,$A9,
        #REF!,$B9)</f>
        <v>#N/A</v>
      </c>
      <c r="J9" s="32">
        <f>IFERROR(
   (SUMIFS(#REF!,
           'Transaction History'!L:L,$A9,
           #REF!,$B9)
   -
    SUMIFS(#REF!,
           'Transaction History'!L:L,$A9,
           #REF!,$B9))
   /
   ABS(SUMIFS('Transaction History'!F:F,
              'Transaction History'!L:L,$A9,
              #REF!,$B9,
              'Transaction History'!B:B,"Bet Stake")),
0)</f>
        <v>0</v>
      </c>
      <c r="K9" s="34">
        <f t="shared" si="3"/>
        <v>0</v>
      </c>
    </row>
    <row r="10" ht="15.75" customHeight="1">
      <c r="A10" s="35"/>
      <c r="B10" s="35"/>
      <c r="C10" s="35">
        <v>2.0</v>
      </c>
      <c r="D10" s="35" t="str">
        <f>COUNTIFS('Transaction History'!L:L,$A10,
          #REF!,$B10,
          'Transaction History'!B:B,"Bet Stake")</f>
        <v>#VALUE!</v>
      </c>
      <c r="E10" s="35" t="str">
        <f>COUNTIFS('Transaction History'!L:L,$A10,
          #REF!,$B10,
          #REF!,"Win")</f>
        <v>#VALUE!</v>
      </c>
      <c r="F10" s="36" t="str">
        <f>COUNTIFS('Transaction History'!L:L,$A10,
          #REF!,$B10,
          #REF!,"Loss")</f>
        <v>#VALUE!</v>
      </c>
      <c r="G10" s="36" t="str">
        <f t="shared" si="1"/>
        <v>#VALUE!</v>
      </c>
      <c r="H10" s="39" t="str">
        <f t="shared" si="2"/>
        <v>#VALUE!</v>
      </c>
      <c r="I10" s="40" t="str">
        <f>SUMIFS(#REF!,
        'Transaction History'!L:L,$A10,
        #REF!,$B10)
-
SUMIFS(#REF!,
        'Transaction History'!L:L,$A10,
        #REF!,$B10)</f>
        <v>#N/A</v>
      </c>
      <c r="J10" s="39">
        <f>IFERROR(
   (SUMIFS(#REF!,
           'Transaction History'!L:L,$A10,
           #REF!,$B10)
   -
    SUMIFS(#REF!,
           'Transaction History'!L:L,$A10,
           #REF!,$B10))
   /
   ABS(SUMIFS('Transaction History'!F:F,
              'Transaction History'!L:L,$A10,
              #REF!,$B10,
              'Transaction History'!B:B,"Bet Stake")),
0)</f>
        <v>0</v>
      </c>
      <c r="K10" s="41">
        <f t="shared" si="3"/>
        <v>0</v>
      </c>
    </row>
    <row r="11" ht="15.75" customHeight="1">
      <c r="A11" s="12"/>
      <c r="B11" s="12"/>
      <c r="C11" s="12">
        <v>3.0</v>
      </c>
      <c r="D11" s="12" t="str">
        <f>COUNTIFS('Transaction History'!L:L,$A11,
          #REF!,$B11,
          'Transaction History'!B:B,"Bet Stake")</f>
        <v>#VALUE!</v>
      </c>
      <c r="E11" s="12" t="str">
        <f>COUNTIFS('Transaction History'!L:L,$A11,
          #REF!,$B11,
          #REF!,"Win")</f>
        <v>#VALUE!</v>
      </c>
      <c r="F11" s="14" t="str">
        <f>COUNTIFS('Transaction History'!L:L,$A11,
          #REF!,$B11,
          #REF!,"Loss")</f>
        <v>#VALUE!</v>
      </c>
      <c r="G11" s="14" t="str">
        <f t="shared" si="1"/>
        <v>#VALUE!</v>
      </c>
      <c r="H11" s="21" t="str">
        <f t="shared" si="2"/>
        <v>#VALUE!</v>
      </c>
      <c r="I11" s="22" t="str">
        <f>SUMIFS(#REF!,
        'Transaction History'!L:L,$A11,
        #REF!,$B11)
-
SUMIFS(#REF!,
        'Transaction History'!L:L,$A11,
        #REF!,$B11)</f>
        <v>#N/A</v>
      </c>
      <c r="J11" s="21">
        <f>IFERROR(
   (SUMIFS(#REF!,
           'Transaction History'!L:L,$A11,
           #REF!,$B11)
   -
    SUMIFS(#REF!,
           'Transaction History'!L:L,$A11,
           #REF!,$B11))
   /
   ABS(SUMIFS('Transaction History'!F:F,
              'Transaction History'!L:L,$A11,
              #REF!,$B11,
              'Transaction History'!B:B,"Bet Stake")),
0)</f>
        <v>0</v>
      </c>
      <c r="K11" s="24">
        <f t="shared" si="3"/>
        <v>0</v>
      </c>
    </row>
    <row r="12" ht="15.75" customHeight="1">
      <c r="A12" s="25"/>
      <c r="B12" s="25"/>
      <c r="C12" s="25">
        <v>3.0</v>
      </c>
      <c r="D12" s="25" t="str">
        <f>COUNTIFS('Transaction History'!L:L,$A12,
          #REF!,$B12,
          'Transaction History'!B:B,"Bet Stake")</f>
        <v>#VALUE!</v>
      </c>
      <c r="E12" s="25" t="str">
        <f>COUNTIFS('Transaction History'!L:L,$A12,
          #REF!,$B12,
          #REF!,"Win")</f>
        <v>#VALUE!</v>
      </c>
      <c r="F12" s="27" t="str">
        <f>COUNTIFS('Transaction History'!L:L,$A12,
          #REF!,$B12,
          #REF!,"Loss")</f>
        <v>#VALUE!</v>
      </c>
      <c r="G12" s="27" t="str">
        <f t="shared" si="1"/>
        <v>#VALUE!</v>
      </c>
      <c r="H12" s="32" t="str">
        <f t="shared" si="2"/>
        <v>#VALUE!</v>
      </c>
      <c r="I12" s="33" t="str">
        <f>SUMIFS(#REF!,
        'Transaction History'!L:L,$A12,
        #REF!,$B12)
-
SUMIFS(#REF!,
        'Transaction History'!L:L,$A12,
        #REF!,$B12)</f>
        <v>#N/A</v>
      </c>
      <c r="J12" s="32">
        <f>IFERROR(
   (SUMIFS(#REF!,
           'Transaction History'!L:L,$A12,
           #REF!,$B12)
   -
    SUMIFS(#REF!,
           'Transaction History'!L:L,$A12,
           #REF!,$B12))
   /
   ABS(SUMIFS('Transaction History'!F:F,
              'Transaction History'!L:L,$A12,
              #REF!,$B12,
              'Transaction History'!B:B,"Bet Stake")),
0)</f>
        <v>0</v>
      </c>
      <c r="K12" s="34">
        <f t="shared" si="3"/>
        <v>0</v>
      </c>
    </row>
    <row r="13" ht="15.75" customHeight="1">
      <c r="A13" s="35"/>
      <c r="B13" s="35"/>
      <c r="C13" s="35">
        <v>3.0</v>
      </c>
      <c r="D13" s="35" t="str">
        <f>COUNTIFS('Transaction History'!L:L,$A13,
          #REF!,$B13,
          'Transaction History'!B:B,"Bet Stake")</f>
        <v>#VALUE!</v>
      </c>
      <c r="E13" s="35" t="str">
        <f>COUNTIFS('Transaction History'!L:L,$A13,
          #REF!,$B13,
          #REF!,"Win")</f>
        <v>#VALUE!</v>
      </c>
      <c r="F13" s="36" t="str">
        <f>COUNTIFS('Transaction History'!L:L,$A13,
          #REF!,$B13,
          #REF!,"Loss")</f>
        <v>#VALUE!</v>
      </c>
      <c r="G13" s="36" t="str">
        <f t="shared" si="1"/>
        <v>#VALUE!</v>
      </c>
      <c r="H13" s="39" t="str">
        <f t="shared" si="2"/>
        <v>#VALUE!</v>
      </c>
      <c r="I13" s="40" t="str">
        <f>SUMIFS(#REF!,
        'Transaction History'!L:L,$A13,
        #REF!,$B13)
-
SUMIFS(#REF!,
        'Transaction History'!L:L,$A13,
        #REF!,$B13)</f>
        <v>#N/A</v>
      </c>
      <c r="J13" s="39">
        <f>IFERROR(
   (SUMIFS(#REF!,
           'Transaction History'!L:L,$A13,
           #REF!,$B13)
   -
    SUMIFS(#REF!,
           'Transaction History'!L:L,$A13,
           #REF!,$B13))
   /
   ABS(SUMIFS('Transaction History'!F:F,
              'Transaction History'!L:L,$A13,
              #REF!,$B13,
              'Transaction History'!B:B,"Bet Stake")),
0)</f>
        <v>0</v>
      </c>
      <c r="K13" s="41">
        <f t="shared" si="3"/>
        <v>0</v>
      </c>
    </row>
    <row r="14" ht="15.75" customHeight="1">
      <c r="A14" s="12"/>
      <c r="B14" s="12"/>
      <c r="C14" s="12">
        <v>4.0</v>
      </c>
      <c r="D14" s="12" t="str">
        <f>COUNTIFS('Transaction History'!L:L,$A14,
          #REF!,$B14,
          'Transaction History'!B:B,"Bet Stake")</f>
        <v>#VALUE!</v>
      </c>
      <c r="E14" s="12" t="str">
        <f>COUNTIFS('Transaction History'!L:L,$A14,
          #REF!,$B14,
          #REF!,"Win")</f>
        <v>#VALUE!</v>
      </c>
      <c r="F14" s="14" t="str">
        <f>COUNTIFS('Transaction History'!L:L,$A14,
          #REF!,$B14,
          #REF!,"Loss")</f>
        <v>#VALUE!</v>
      </c>
      <c r="G14" s="14" t="str">
        <f t="shared" si="1"/>
        <v>#VALUE!</v>
      </c>
      <c r="H14" s="21" t="str">
        <f t="shared" si="2"/>
        <v>#VALUE!</v>
      </c>
      <c r="I14" s="22" t="str">
        <f>SUMIFS(#REF!,
        'Transaction History'!L:L,$A14,
        #REF!,$B14)
-
SUMIFS(#REF!,
        'Transaction History'!L:L,$A14,
        #REF!,$B14)</f>
        <v>#N/A</v>
      </c>
      <c r="J14" s="21">
        <f>IFERROR(
   (SUMIFS(#REF!,
           'Transaction History'!L:L,$A14,
           #REF!,$B14)
   -
    SUMIFS(#REF!,
           'Transaction History'!L:L,$A14,
           #REF!,$B14))
   /
   ABS(SUMIFS('Transaction History'!F:F,
              'Transaction History'!L:L,$A14,
              #REF!,$B14,
              'Transaction History'!B:B,"Bet Stake")),
0)</f>
        <v>0</v>
      </c>
      <c r="K14" s="24">
        <f t="shared" si="3"/>
        <v>0</v>
      </c>
    </row>
    <row r="15" ht="15.75" customHeight="1">
      <c r="A15" s="25"/>
      <c r="B15" s="25"/>
      <c r="C15" s="25">
        <v>4.0</v>
      </c>
      <c r="D15" s="25" t="str">
        <f>COUNTIFS('Transaction History'!L:L,$A15,
          #REF!,$B15,
          'Transaction History'!B:B,"Bet Stake")</f>
        <v>#VALUE!</v>
      </c>
      <c r="E15" s="25" t="str">
        <f>COUNTIFS('Transaction History'!L:L,$A15,
          #REF!,$B15,
          #REF!,"Win")</f>
        <v>#VALUE!</v>
      </c>
      <c r="F15" s="27" t="str">
        <f>COUNTIFS('Transaction History'!L:L,$A15,
          #REF!,$B15,
          #REF!,"Loss")</f>
        <v>#VALUE!</v>
      </c>
      <c r="G15" s="27" t="str">
        <f t="shared" si="1"/>
        <v>#VALUE!</v>
      </c>
      <c r="H15" s="32" t="str">
        <f t="shared" si="2"/>
        <v>#VALUE!</v>
      </c>
      <c r="I15" s="33" t="str">
        <f>SUMIFS(#REF!,
        'Transaction History'!L:L,$A15,
        #REF!,$B15)
-
SUMIFS(#REF!,
        'Transaction History'!L:L,$A15,
        #REF!,$B15)</f>
        <v>#N/A</v>
      </c>
      <c r="J15" s="32">
        <f>IFERROR(
   (SUMIFS(#REF!,
           'Transaction History'!L:L,$A15,
           #REF!,$B15)
   -
    SUMIFS(#REF!,
           'Transaction History'!L:L,$A15,
           #REF!,$B15))
   /
   ABS(SUMIFS('Transaction History'!F:F,
              'Transaction History'!L:L,$A15,
              #REF!,$B15,
              'Transaction History'!B:B,"Bet Stake")),
0)</f>
        <v>0</v>
      </c>
      <c r="K15" s="34">
        <f t="shared" si="3"/>
        <v>0</v>
      </c>
    </row>
    <row r="16" ht="15.75" customHeight="1">
      <c r="A16" s="35"/>
      <c r="B16" s="35"/>
      <c r="C16" s="35">
        <v>4.0</v>
      </c>
      <c r="D16" s="35" t="str">
        <f>COUNTIFS('Transaction History'!L:L,$A16,
          #REF!,$B16,
          'Transaction History'!B:B,"Bet Stake")</f>
        <v>#VALUE!</v>
      </c>
      <c r="E16" s="35" t="str">
        <f>COUNTIFS('Transaction History'!L:L,$A16,
          #REF!,$B16,
          #REF!,"Win")</f>
        <v>#VALUE!</v>
      </c>
      <c r="F16" s="36" t="str">
        <f>COUNTIFS('Transaction History'!L:L,$A16,
          #REF!,$B16,
          #REF!,"Loss")</f>
        <v>#VALUE!</v>
      </c>
      <c r="G16" s="36" t="str">
        <f t="shared" si="1"/>
        <v>#VALUE!</v>
      </c>
      <c r="H16" s="39" t="str">
        <f t="shared" si="2"/>
        <v>#VALUE!</v>
      </c>
      <c r="I16" s="40" t="str">
        <f>SUMIFS(#REF!,
        'Transaction History'!L:L,$A16,
        #REF!,$B16)
-
SUMIFS(#REF!,
        'Transaction History'!L:L,$A16,
        #REF!,$B16)</f>
        <v>#N/A</v>
      </c>
      <c r="J16" s="39">
        <f>IFERROR(
   (SUMIFS(#REF!,
           'Transaction History'!L:L,$A16,
           #REF!,$B16)
   -
    SUMIFS(#REF!,
           'Transaction History'!L:L,$A16,
           #REF!,$B16))
   /
   ABS(SUMIFS('Transaction History'!F:F,
              'Transaction History'!L:L,$A16,
              #REF!,$B16,
              'Transaction History'!B:B,"Bet Stake")),
0)</f>
        <v>0</v>
      </c>
      <c r="K16" s="41">
        <f t="shared" si="3"/>
        <v>0</v>
      </c>
    </row>
    <row r="17" ht="15.75" customHeight="1">
      <c r="A17" s="12"/>
      <c r="B17" s="12"/>
      <c r="C17" s="12">
        <v>5.0</v>
      </c>
      <c r="D17" s="12" t="str">
        <f>COUNTIFS('Transaction History'!L:L,$A17,
          #REF!,$B17,
          'Transaction History'!B:B,"Bet Stake")</f>
        <v>#VALUE!</v>
      </c>
      <c r="E17" s="12" t="str">
        <f>COUNTIFS('Transaction History'!L:L,$A17,
          #REF!,$B17,
          #REF!,"Win")</f>
        <v>#VALUE!</v>
      </c>
      <c r="F17" s="14" t="str">
        <f>COUNTIFS('Transaction History'!L:L,$A17,
          #REF!,$B17,
          #REF!,"Loss")</f>
        <v>#VALUE!</v>
      </c>
      <c r="G17" s="14" t="str">
        <f t="shared" si="1"/>
        <v>#VALUE!</v>
      </c>
      <c r="H17" s="21" t="str">
        <f t="shared" si="2"/>
        <v>#VALUE!</v>
      </c>
      <c r="I17" s="22" t="str">
        <f>SUMIFS(#REF!,
        'Transaction History'!L:L,$A17,
        #REF!,$B17)
-
SUMIFS(#REF!,
        'Transaction History'!L:L,$A17,
        #REF!,$B17)</f>
        <v>#N/A</v>
      </c>
      <c r="J17" s="21">
        <f>IFERROR(
   (SUMIFS(#REF!,
           'Transaction History'!L:L,$A17,
           #REF!,$B17)
   -
    SUMIFS(#REF!,
           'Transaction History'!L:L,$A17,
           #REF!,$B17))
   /
   ABS(SUMIFS('Transaction History'!F:F,
              'Transaction History'!L:L,$A17,
              #REF!,$B17,
              'Transaction History'!B:B,"Bet Stake")),
0)</f>
        <v>0</v>
      </c>
      <c r="K17" s="24">
        <f t="shared" si="3"/>
        <v>0</v>
      </c>
    </row>
    <row r="18" ht="15.75" customHeight="1">
      <c r="A18" s="25"/>
      <c r="B18" s="25"/>
      <c r="C18" s="25">
        <v>5.0</v>
      </c>
      <c r="D18" s="25" t="str">
        <f>COUNTIFS('Transaction History'!L:L,$A18,
          #REF!,$B18,
          'Transaction History'!B:B,"Bet Stake")</f>
        <v>#VALUE!</v>
      </c>
      <c r="E18" s="25" t="str">
        <f>COUNTIFS('Transaction History'!L:L,$A18,
          #REF!,$B18,
          #REF!,"Win")</f>
        <v>#VALUE!</v>
      </c>
      <c r="F18" s="27" t="str">
        <f>COUNTIFS('Transaction History'!L:L,$A18,
          #REF!,$B18,
          #REF!,"Loss")</f>
        <v>#VALUE!</v>
      </c>
      <c r="G18" s="27" t="str">
        <f t="shared" si="1"/>
        <v>#VALUE!</v>
      </c>
      <c r="H18" s="32" t="str">
        <f t="shared" si="2"/>
        <v>#VALUE!</v>
      </c>
      <c r="I18" s="33" t="str">
        <f>SUMIFS(#REF!,
        'Transaction History'!L:L,$A18,
        #REF!,$B18)
-
SUMIFS(#REF!,
        'Transaction History'!L:L,$A18,
        #REF!,$B18)</f>
        <v>#N/A</v>
      </c>
      <c r="J18" s="32">
        <f>IFERROR(
   (SUMIFS(#REF!,
           'Transaction History'!L:L,$A18,
           #REF!,$B18)
   -
    SUMIFS(#REF!,
           'Transaction History'!L:L,$A18,
           #REF!,$B18))
   /
   ABS(SUMIFS('Transaction History'!F:F,
              'Transaction History'!L:L,$A18,
              #REF!,$B18,
              'Transaction History'!B:B,"Bet Stake")),
0)</f>
        <v>0</v>
      </c>
      <c r="K18" s="34">
        <f t="shared" si="3"/>
        <v>0</v>
      </c>
    </row>
    <row r="19" ht="15.75" customHeight="1">
      <c r="A19" s="35"/>
      <c r="B19" s="35"/>
      <c r="C19" s="35">
        <v>5.0</v>
      </c>
      <c r="D19" s="35" t="str">
        <f>COUNTIFS('Transaction History'!L:L,$A19,
          #REF!,$B19,
          'Transaction History'!B:B,"Bet Stake")</f>
        <v>#VALUE!</v>
      </c>
      <c r="E19" s="35" t="str">
        <f>COUNTIFS('Transaction History'!L:L,$A19,
          #REF!,$B19,
          #REF!,"Win")</f>
        <v>#VALUE!</v>
      </c>
      <c r="F19" s="36" t="str">
        <f>COUNTIFS('Transaction History'!L:L,$A19,
          #REF!,$B19,
          #REF!,"Loss")</f>
        <v>#VALUE!</v>
      </c>
      <c r="G19" s="36" t="str">
        <f t="shared" si="1"/>
        <v>#VALUE!</v>
      </c>
      <c r="H19" s="39" t="str">
        <f t="shared" si="2"/>
        <v>#VALUE!</v>
      </c>
      <c r="I19" s="40" t="str">
        <f>SUMIFS(#REF!,
        'Transaction History'!L:L,$A19,
        #REF!,$B19)
-
SUMIFS(#REF!,
        'Transaction History'!L:L,$A19,
        #REF!,$B19)</f>
        <v>#N/A</v>
      </c>
      <c r="J19" s="39">
        <f>IFERROR(
   (SUMIFS(#REF!,
           'Transaction History'!L:L,$A19,
           #REF!,$B19)
   -
    SUMIFS(#REF!,
           'Transaction History'!L:L,$A19,
           #REF!,$B19))
   /
   ABS(SUMIFS('Transaction History'!F:F,
              'Transaction History'!L:L,$A19,
              #REF!,$B19,
              'Transaction History'!B:B,"Bet Stake")),
0)</f>
        <v>0</v>
      </c>
      <c r="K19" s="41">
        <f t="shared" si="3"/>
        <v>0</v>
      </c>
    </row>
    <row r="20" ht="15.75" customHeight="1">
      <c r="A20" s="12"/>
      <c r="B20" s="12"/>
      <c r="C20" s="25">
        <v>6.0</v>
      </c>
      <c r="D20" s="25" t="str">
        <f>COUNTIFS('Transaction History'!L:L,$A20,
          #REF!,$B20,
          'Transaction History'!B:B,"Bet Stake")</f>
        <v>#VALUE!</v>
      </c>
      <c r="E20" s="25" t="str">
        <f>COUNTIFS('Transaction History'!L:L,$A20,
          #REF!,$B20,
          #REF!,"Win")</f>
        <v>#VALUE!</v>
      </c>
      <c r="F20" s="27" t="str">
        <f>COUNTIFS('Transaction History'!L:L,$A20,
          #REF!,$B20,
          #REF!,"Loss")</f>
        <v>#VALUE!</v>
      </c>
      <c r="G20" s="14" t="str">
        <f t="shared" si="1"/>
        <v>#VALUE!</v>
      </c>
      <c r="H20" s="32" t="str">
        <f t="shared" si="2"/>
        <v>#VALUE!</v>
      </c>
      <c r="I20" s="33" t="str">
        <f>SUMIFS(#REF!,
        'Transaction History'!L:L,$A20,
        #REF!,$B20)
-
SUMIFS(#REF!,
        'Transaction History'!L:L,$A20,
        #REF!,$B20)</f>
        <v>#N/A</v>
      </c>
      <c r="J20" s="32">
        <f>IFERROR(
   (SUMIFS(#REF!,
           'Transaction History'!L:L,$A20,
           #REF!,$B20)
   -
    SUMIFS(#REF!,
           'Transaction History'!L:L,$A20,
           #REF!,$B20))
   /
   ABS(SUMIFS('Transaction History'!F:F,
              'Transaction History'!L:L,$A20,
              #REF!,$B20,
              'Transaction History'!B:B,"Bet Stake")),
0)</f>
        <v>0</v>
      </c>
      <c r="K20" s="24">
        <f t="shared" si="3"/>
        <v>0</v>
      </c>
    </row>
    <row r="21" ht="15.75" customHeight="1">
      <c r="A21" s="25"/>
      <c r="B21" s="25"/>
      <c r="C21" s="25">
        <v>6.0</v>
      </c>
      <c r="D21" s="25" t="str">
        <f>COUNTIFS('Transaction History'!L:L,$A21,
          #REF!,$B21,
          'Transaction History'!B:B,"Bet Stake")</f>
        <v>#VALUE!</v>
      </c>
      <c r="E21" s="25" t="str">
        <f>COUNTIFS('Transaction History'!L:L,$A21,
          #REF!,$B21,
          #REF!,"Win")</f>
        <v>#VALUE!</v>
      </c>
      <c r="F21" s="27" t="str">
        <f>COUNTIFS('Transaction History'!L:L,$A21,
          #REF!,$B21,
          #REF!,"Loss")</f>
        <v>#VALUE!</v>
      </c>
      <c r="G21" s="27" t="str">
        <f t="shared" si="1"/>
        <v>#VALUE!</v>
      </c>
      <c r="H21" s="32" t="str">
        <f t="shared" si="2"/>
        <v>#VALUE!</v>
      </c>
      <c r="I21" s="33" t="str">
        <f>SUMIFS(#REF!,
        'Transaction History'!L:L,$A21,
        #REF!,$B21)
-
SUMIFS(#REF!,
        'Transaction History'!L:L,$A21,
        #REF!,$B21)</f>
        <v>#N/A</v>
      </c>
      <c r="J21" s="32">
        <f>IFERROR(
   (SUMIFS(#REF!,
           'Transaction History'!L:L,$A21,
           #REF!,$B21)
   -
    SUMIFS(#REF!,
           'Transaction History'!L:L,$A21,
           #REF!,$B21))
   /
   ABS(SUMIFS('Transaction History'!F:F,
              'Transaction History'!L:L,$A21,
              #REF!,$B21,
              'Transaction History'!B:B,"Bet Stake")),
0)</f>
        <v>0</v>
      </c>
      <c r="K21" s="34">
        <f t="shared" si="3"/>
        <v>0</v>
      </c>
    </row>
    <row r="22" ht="15.75" customHeight="1">
      <c r="A22" s="35"/>
      <c r="B22" s="35"/>
      <c r="C22" s="35">
        <v>6.0</v>
      </c>
      <c r="D22" s="35" t="str">
        <f>COUNTIFS('Transaction History'!L:L,$A22,
          #REF!,$B22,
          'Transaction History'!B:B,"Bet Stake")</f>
        <v>#VALUE!</v>
      </c>
      <c r="E22" s="35" t="str">
        <f>COUNTIFS('Transaction History'!L:L,$A22,
          #REF!,$B22,
          #REF!,"Win")</f>
        <v>#VALUE!</v>
      </c>
      <c r="F22" s="36" t="str">
        <f>COUNTIFS('Transaction History'!L:L,$A22,
          #REF!,$B22,
          #REF!,"Loss")</f>
        <v>#VALUE!</v>
      </c>
      <c r="G22" s="36" t="str">
        <f t="shared" si="1"/>
        <v>#VALUE!</v>
      </c>
      <c r="H22" s="39" t="str">
        <f t="shared" si="2"/>
        <v>#VALUE!</v>
      </c>
      <c r="I22" s="40" t="str">
        <f>SUMIFS(#REF!,
        'Transaction History'!L:L,$A22,
        #REF!,$B22)
-
SUMIFS(#REF!,
        'Transaction History'!L:L,$A22,
        #REF!,$B22)</f>
        <v>#N/A</v>
      </c>
      <c r="J22" s="39">
        <f>IFERROR(
   (SUMIFS(#REF!,
           'Transaction History'!L:L,$A22,
           #REF!,$B22)
   -
    SUMIFS(#REF!,
           'Transaction History'!L:L,$A22,
           #REF!,$B22))
   /
   ABS(SUMIFS('Transaction History'!F:F,
              'Transaction History'!L:L,$A22,
              #REF!,$B22,
              'Transaction History'!B:B,"Bet Stake")),
0)</f>
        <v>0</v>
      </c>
      <c r="K22" s="41">
        <f t="shared" si="3"/>
        <v>0</v>
      </c>
    </row>
    <row r="23" ht="15.75" customHeight="1">
      <c r="A23" s="12"/>
      <c r="B23" s="12"/>
      <c r="C23" s="12">
        <v>7.0</v>
      </c>
      <c r="D23" s="25" t="str">
        <f>COUNTIFS('Transaction History'!L:L,$A23,
          #REF!,$B23,
          'Transaction History'!B:B,"Bet Stake")</f>
        <v>#VALUE!</v>
      </c>
      <c r="E23" s="25" t="str">
        <f>COUNTIFS('Transaction History'!L:L,$A23,
          #REF!,$B23,
          #REF!,"Win")</f>
        <v>#VALUE!</v>
      </c>
      <c r="F23" s="27" t="str">
        <f>COUNTIFS('Transaction History'!L:L,$A23,
          #REF!,$B23,
          #REF!,"Loss")</f>
        <v>#VALUE!</v>
      </c>
      <c r="G23" s="14" t="str">
        <f t="shared" si="1"/>
        <v>#VALUE!</v>
      </c>
      <c r="H23" s="32" t="str">
        <f t="shared" si="2"/>
        <v>#VALUE!</v>
      </c>
      <c r="I23" s="33" t="str">
        <f>SUMIFS(#REF!,
        'Transaction History'!L:L,$A23,
        #REF!,$B23)
-
SUMIFS(#REF!,
        'Transaction History'!L:L,$A23,
        #REF!,$B23)</f>
        <v>#N/A</v>
      </c>
      <c r="J23" s="32">
        <f>IFERROR(
   (SUMIFS(#REF!,
           'Transaction History'!L:L,$A23,
           #REF!,$B23)
   -
    SUMIFS(#REF!,
           'Transaction History'!L:L,$A23,
           #REF!,$B23))
   /
   ABS(SUMIFS('Transaction History'!F:F,
              'Transaction History'!L:L,$A23,
              #REF!,$B23,
              'Transaction History'!B:B,"Bet Stake")),
0)</f>
        <v>0</v>
      </c>
      <c r="K23" s="34">
        <f t="shared" si="3"/>
        <v>0</v>
      </c>
    </row>
    <row r="24" ht="15.75" customHeight="1">
      <c r="A24" s="25"/>
      <c r="B24" s="25"/>
      <c r="C24" s="25">
        <v>7.0</v>
      </c>
      <c r="D24" s="25" t="str">
        <f>COUNTIFS('Transaction History'!L:L,$A24,
          #REF!,$B24,
          'Transaction History'!B:B,"Bet Stake")</f>
        <v>#VALUE!</v>
      </c>
      <c r="E24" s="25" t="str">
        <f>COUNTIFS('Transaction History'!L:L,$A24,
          #REF!,$B24,
          #REF!,"Win")</f>
        <v>#VALUE!</v>
      </c>
      <c r="F24" s="27" t="str">
        <f>COUNTIFS('Transaction History'!L:L,$A24,
          #REF!,$B24,
          #REF!,"Loss")</f>
        <v>#VALUE!</v>
      </c>
      <c r="G24" s="27" t="str">
        <f t="shared" si="1"/>
        <v>#VALUE!</v>
      </c>
      <c r="H24" s="32" t="str">
        <f t="shared" si="2"/>
        <v>#VALUE!</v>
      </c>
      <c r="I24" s="33" t="str">
        <f>SUMIFS(#REF!,
        'Transaction History'!L:L,$A24,
        #REF!,$B24)
-
SUMIFS(#REF!,
        'Transaction History'!L:L,$A24,
        #REF!,$B24)</f>
        <v>#N/A</v>
      </c>
      <c r="J24" s="32">
        <f>IFERROR(
   (SUMIFS(#REF!,
           'Transaction History'!L:L,$A24,
           #REF!,$B24)
   -
    SUMIFS(#REF!,
           'Transaction History'!L:L,$A24,
           #REF!,$B24))
   /
   ABS(SUMIFS('Transaction History'!F:F,
              'Transaction History'!L:L,$A24,
              #REF!,$B24,
              'Transaction History'!B:B,"Bet Stake")),
0)</f>
        <v>0</v>
      </c>
      <c r="K24" s="34">
        <f t="shared" si="3"/>
        <v>0</v>
      </c>
    </row>
    <row r="25" ht="15.75" customHeight="1">
      <c r="A25" s="35"/>
      <c r="B25" s="35"/>
      <c r="C25" s="35">
        <v>7.0</v>
      </c>
      <c r="D25" s="25" t="str">
        <f>COUNTIFS('Transaction History'!L:L,$A25,
          #REF!,$B25,
          'Transaction History'!B:B,"Bet Stake")</f>
        <v>#VALUE!</v>
      </c>
      <c r="E25" s="35" t="str">
        <f>COUNTIFS('Transaction History'!L:L,$A25,
          #REF!,$B25,
          #REF!,"Win")</f>
        <v>#VALUE!</v>
      </c>
      <c r="F25" s="36" t="str">
        <f>COUNTIFS('Transaction History'!L:L,$A25,
          #REF!,$B25,
          #REF!,"Loss")</f>
        <v>#VALUE!</v>
      </c>
      <c r="G25" s="36" t="str">
        <f t="shared" si="1"/>
        <v>#VALUE!</v>
      </c>
      <c r="H25" s="39" t="str">
        <f t="shared" si="2"/>
        <v>#VALUE!</v>
      </c>
      <c r="I25" s="40" t="str">
        <f>SUMIFS(#REF!,
        'Transaction History'!L:L,$A25,
        #REF!,$B25)
-
SUMIFS(#REF!,
        'Transaction History'!L:L,$A25,
        #REF!,$B25)</f>
        <v>#N/A</v>
      </c>
      <c r="J25" s="39">
        <f>IFERROR(
   (SUMIFS(#REF!,
           'Transaction History'!L:L,$A25,
           #REF!,$B25)
   -
    SUMIFS(#REF!,
           'Transaction History'!L:L,$A25,
           #REF!,$B25))
   /
   ABS(SUMIFS('Transaction History'!F:F,
              'Transaction History'!L:L,$A25,
              #REF!,$B25,
              'Transaction History'!B:B,"Bet Stake")),
0)</f>
        <v>0</v>
      </c>
      <c r="K25" s="41">
        <f t="shared" si="3"/>
        <v>0</v>
      </c>
    </row>
    <row r="26" ht="15.75" customHeight="1">
      <c r="A26" s="12"/>
      <c r="B26" s="12"/>
      <c r="C26" s="12">
        <v>8.0</v>
      </c>
      <c r="D26" s="12" t="str">
        <f>COUNTIFS('Transaction History'!L:L,$A26,
          #REF!,$B26,
          'Transaction History'!B:B,"Bet Stake")</f>
        <v>#VALUE!</v>
      </c>
      <c r="E26" s="28" t="str">
        <f>COUNTIFS('Transaction History'!L:L,$A26,
          #REF!,$B26,
          #REF!,"Win")</f>
        <v>#VALUE!</v>
      </c>
      <c r="F26" s="27" t="str">
        <f>COUNTIFS('Transaction History'!L:L,$A26,
          #REF!,$B26,
          #REF!,"Loss")</f>
        <v>#VALUE!</v>
      </c>
      <c r="G26" s="14" t="str">
        <f t="shared" si="1"/>
        <v>#VALUE!</v>
      </c>
      <c r="H26" s="32" t="str">
        <f t="shared" si="2"/>
        <v>#VALUE!</v>
      </c>
      <c r="I26" s="33" t="str">
        <f>SUMIFS(#REF!,
        'Transaction History'!L:L,$A26,
        #REF!,$B26)
-
SUMIFS(#REF!,
        'Transaction History'!L:L,$A26,
        #REF!,$B26)</f>
        <v>#N/A</v>
      </c>
      <c r="J26" s="32">
        <f>IFERROR(
   (SUMIFS(#REF!,
           'Transaction History'!L:L,$A26,
           #REF!,$B26)
   -
    SUMIFS(#REF!,
           'Transaction History'!L:L,$A26,
           #REF!,$B26))
   /
   ABS(SUMIFS('Transaction History'!F:F,
              'Transaction History'!L:L,$A26,
              #REF!,$B26,
              'Transaction History'!B:B,"Bet Stake")),
0)</f>
        <v>0</v>
      </c>
      <c r="K26" s="34">
        <f t="shared" si="3"/>
        <v>0</v>
      </c>
    </row>
    <row r="27" ht="15.75" customHeight="1">
      <c r="A27" s="25"/>
      <c r="B27" s="25"/>
      <c r="C27" s="25">
        <v>8.0</v>
      </c>
      <c r="D27" s="25" t="str">
        <f>COUNTIFS('Transaction History'!L:L,$A27,
          #REF!,$B27,
          'Transaction History'!B:B,"Bet Stake")</f>
        <v>#VALUE!</v>
      </c>
      <c r="E27" s="28" t="str">
        <f>COUNTIFS('Transaction History'!L:L,$A27,
          #REF!,$B27,
          #REF!,"Win")</f>
        <v>#VALUE!</v>
      </c>
      <c r="F27" s="27" t="str">
        <f>COUNTIFS('Transaction History'!L:L,$A27,
          #REF!,$B27,
          #REF!,"Loss")</f>
        <v>#VALUE!</v>
      </c>
      <c r="G27" s="27" t="str">
        <f t="shared" si="1"/>
        <v>#VALUE!</v>
      </c>
      <c r="H27" s="32" t="str">
        <f t="shared" si="2"/>
        <v>#VALUE!</v>
      </c>
      <c r="I27" s="33" t="str">
        <f>SUMIFS(#REF!,
        'Transaction History'!L:L,$A27,
        #REF!,$B27)
-
SUMIFS(#REF!,
        'Transaction History'!L:L,$A27,
        #REF!,$B27)</f>
        <v>#N/A</v>
      </c>
      <c r="J27" s="32">
        <f>IFERROR(
   (SUMIFS(#REF!,
           'Transaction History'!L:L,$A27,
           #REF!,$B27)
   -
    SUMIFS(#REF!,
           'Transaction History'!L:L,$A27,
           #REF!,$B27))
   /
   ABS(SUMIFS('Transaction History'!F:F,
              'Transaction History'!L:L,$A27,
              #REF!,$B27,
              'Transaction History'!B:B,"Bet Stake")),
0)</f>
        <v>0</v>
      </c>
      <c r="K27" s="34">
        <f t="shared" si="3"/>
        <v>0</v>
      </c>
    </row>
    <row r="28" ht="15.75" customHeight="1">
      <c r="A28" s="25"/>
      <c r="B28" s="25"/>
      <c r="C28" s="25">
        <v>8.0</v>
      </c>
      <c r="D28" s="25" t="str">
        <f>COUNTIFS('Transaction History'!L:L,$A28,
          #REF!,$B28,
          'Transaction History'!B:B,"Bet Stake")</f>
        <v>#VALUE!</v>
      </c>
      <c r="E28" s="28" t="str">
        <f>COUNTIFS('Transaction History'!L:L,$A28,
          #REF!,$B28,
          #REF!,"Win")</f>
        <v>#VALUE!</v>
      </c>
      <c r="F28" s="36" t="str">
        <f>COUNTIFS('Transaction History'!L:L,$A28,
          #REF!,$B28,
          #REF!,"Loss")</f>
        <v>#VALUE!</v>
      </c>
      <c r="G28" s="36" t="str">
        <f t="shared" si="1"/>
        <v>#VALUE!</v>
      </c>
      <c r="H28" s="39" t="str">
        <f t="shared" si="2"/>
        <v>#VALUE!</v>
      </c>
      <c r="I28" s="40" t="str">
        <f>SUMIFS(#REF!,
        'Transaction History'!L:L,$A28,
        #REF!,$B28)
-
SUMIFS(#REF!,
        'Transaction History'!L:L,$A28,
        #REF!,$B28)</f>
        <v>#N/A</v>
      </c>
      <c r="J28" s="39">
        <f>IFERROR(
   (SUMIFS(#REF!,
           'Transaction History'!L:L,$A28,
           #REF!,$B28)
   -
    SUMIFS(#REF!,
           'Transaction History'!L:L,$A28,
           #REF!,$B28))
   /
   ABS(SUMIFS('Transaction History'!F:F,
              'Transaction History'!L:L,$A28,
              #REF!,$B28,
              'Transaction History'!B:B,"Bet Stake")),
0)</f>
        <v>0</v>
      </c>
      <c r="K28" s="41">
        <f t="shared" si="3"/>
        <v>0</v>
      </c>
    </row>
    <row r="29" ht="15.75" customHeight="1">
      <c r="A29" s="60"/>
      <c r="B29" s="61"/>
      <c r="C29" s="61">
        <v>9.0</v>
      </c>
      <c r="D29" s="61" t="str">
        <f>COUNTIFS('Transaction History'!L:L,$A29,
          #REF!,$B29,
          'Transaction History'!B:B,"Bet Stake")</f>
        <v>#VALUE!</v>
      </c>
      <c r="E29" s="62" t="str">
        <f>COUNTIFS('Transaction History'!L:L,$A29,
          #REF!,$B29,
          #REF!,"Win")</f>
        <v>#VALUE!</v>
      </c>
      <c r="F29" s="2" t="str">
        <f>COUNTIFS('Transaction History'!L:L,$A29,
          #REF!,$B29,
          #REF!,"Loss")</f>
        <v>#VALUE!</v>
      </c>
      <c r="G29" s="60" t="str">
        <f t="shared" si="1"/>
        <v>#VALUE!</v>
      </c>
      <c r="H29" s="63" t="str">
        <f t="shared" si="2"/>
        <v>#VALUE!</v>
      </c>
      <c r="I29" s="64" t="str">
        <f>SUMIFS(#REF!,
        'Transaction History'!L:L,$A29,
        #REF!,$B29)
-
SUMIFS(#REF!,
        'Transaction History'!L:L,$A29,
        #REF!,$B29)</f>
        <v>#N/A</v>
      </c>
      <c r="J29" s="63">
        <f>IFERROR(
   (SUMIFS(#REF!,
           'Transaction History'!L:L,$A29,
           #REF!,$B29)
   -
    SUMIFS(#REF!,
           'Transaction History'!L:L,$A29,
           #REF!,$B29))
   /
   ABS(SUMIFS('Transaction History'!F:F,
              'Transaction History'!L:L,$A29,
              #REF!,$B29,
              'Transaction History'!B:B,"Bet Stake")),
0)</f>
        <v>0</v>
      </c>
      <c r="K29" s="66">
        <f t="shared" si="3"/>
        <v>0</v>
      </c>
    </row>
    <row r="30" ht="15.75" customHeight="1">
      <c r="A30" s="67"/>
      <c r="B30" s="2"/>
      <c r="C30" s="2">
        <v>9.0</v>
      </c>
      <c r="D30" s="2" t="str">
        <f>COUNTIFS('Transaction History'!L:L,$A30,
          #REF!,$B30,
          'Transaction History'!B:B,"Bet Stake")</f>
        <v>#VALUE!</v>
      </c>
      <c r="E30" s="68" t="str">
        <f>COUNTIFS('Transaction History'!L:L,$A30,
          #REF!,$B30,
          #REF!,"Win")</f>
        <v>#VALUE!</v>
      </c>
      <c r="F30" s="2" t="str">
        <f>COUNTIFS('Transaction History'!L:L,$A30,
          #REF!,$B30,
          #REF!,"Loss")</f>
        <v>#VALUE!</v>
      </c>
      <c r="G30" s="67" t="str">
        <f t="shared" si="1"/>
        <v>#VALUE!</v>
      </c>
      <c r="H30" s="63" t="str">
        <f t="shared" si="2"/>
        <v>#VALUE!</v>
      </c>
      <c r="I30" s="64" t="str">
        <f>SUMIFS(#REF!,
        'Transaction History'!L:L,$A30,
        #REF!,$B30)
-
SUMIFS(#REF!,
        'Transaction History'!L:L,$A30,
        #REF!,$B30)</f>
        <v>#N/A</v>
      </c>
      <c r="J30" s="63">
        <f>IFERROR(
   (SUMIFS(#REF!,
           'Transaction History'!L:L,$A30,
           #REF!,$B30)
   -
    SUMIFS(#REF!,
           'Transaction History'!L:L,$A30,
           #REF!,$B30))
   /
   ABS(SUMIFS('Transaction History'!F:F,
              'Transaction History'!L:L,$A30,
              #REF!,$B30,
              'Transaction History'!B:B,"Bet Stake")),
0)</f>
        <v>0</v>
      </c>
      <c r="K30" s="66">
        <f t="shared" si="3"/>
        <v>0</v>
      </c>
    </row>
    <row r="31" ht="15.75" customHeight="1">
      <c r="A31" s="67"/>
      <c r="B31" s="2"/>
      <c r="C31" s="2">
        <v>9.0</v>
      </c>
      <c r="D31" s="2" t="str">
        <f>COUNTIFS('Transaction History'!L:L,$A31,
          #REF!,$B31,
          'Transaction History'!B:B,"Bet Stake")</f>
        <v>#VALUE!</v>
      </c>
      <c r="E31" s="68" t="str">
        <f>COUNTIFS('Transaction History'!L:L,$A31,
          #REF!,$B31,
          #REF!,"Win")</f>
        <v>#VALUE!</v>
      </c>
      <c r="F31" s="69" t="str">
        <f>COUNTIFS('Transaction History'!L:L,$A31,
          #REF!,$B31,
          #REF!,"Loss")</f>
        <v>#VALUE!</v>
      </c>
      <c r="G31" s="70" t="str">
        <f t="shared" si="1"/>
        <v>#VALUE!</v>
      </c>
      <c r="H31" s="71" t="str">
        <f t="shared" si="2"/>
        <v>#VALUE!</v>
      </c>
      <c r="I31" s="72" t="str">
        <f>SUMIFS(#REF!,
        'Transaction History'!L:L,$A31,
        #REF!,$B31)
-
SUMIFS(#REF!,
        'Transaction History'!L:L,$A31,
        #REF!,$B31)</f>
        <v>#N/A</v>
      </c>
      <c r="J31" s="71">
        <f>IFERROR(
   (SUMIFS(#REF!,
           'Transaction History'!L:L,$A31,
           #REF!,$B31)
   -
    SUMIFS(#REF!,
           'Transaction History'!L:L,$A31,
           #REF!,$B31))
   /
   ABS(SUMIFS('Transaction History'!F:F,
              'Transaction History'!L:L,$A31,
              #REF!,$B31,
              'Transaction History'!B:B,"Bet Stake")),
0)</f>
        <v>0</v>
      </c>
      <c r="K31" s="73">
        <f t="shared" si="3"/>
        <v>0</v>
      </c>
    </row>
    <row r="32" ht="15.75" customHeight="1">
      <c r="A32" s="60"/>
      <c r="B32" s="61"/>
      <c r="C32" s="61">
        <v>10.0</v>
      </c>
      <c r="D32" s="61" t="str">
        <f>COUNTIFS('Transaction History'!L:L,$A32,
          #REF!,$B32,
          'Transaction History'!B:B,"Bet Stake")</f>
        <v>#VALUE!</v>
      </c>
      <c r="E32" s="62" t="str">
        <f>COUNTIFS('Transaction History'!L:L,$A32,
          #REF!,$B32,
          #REF!,"Win")</f>
        <v>#VALUE!</v>
      </c>
      <c r="F32" s="2" t="str">
        <f>COUNTIFS('Transaction History'!L:L,$A32,
          #REF!,$B32,
          #REF!,"Loss")</f>
        <v>#VALUE!</v>
      </c>
      <c r="G32" s="60" t="str">
        <f t="shared" si="1"/>
        <v>#VALUE!</v>
      </c>
      <c r="H32" s="63" t="str">
        <f t="shared" si="2"/>
        <v>#VALUE!</v>
      </c>
      <c r="I32" s="64" t="str">
        <f>SUMIFS(#REF!,
        'Transaction History'!L:L,$A32,
        #REF!,$B32)
-
SUMIFS(#REF!,
        'Transaction History'!L:L,$A32,
        #REF!,$B32)</f>
        <v>#N/A</v>
      </c>
      <c r="J32" s="63">
        <f>IFERROR(
   (SUMIFS(#REF!,
           'Transaction History'!L:L,$A32,
           #REF!,$B32)
   -
    SUMIFS(#REF!,
           'Transaction History'!L:L,$A32,
           #REF!,$B32))
   /
   ABS(SUMIFS('Transaction History'!F:F,
              'Transaction History'!L:L,$A32,
              #REF!,$B32,
              'Transaction History'!B:B,"Bet Stake")),
0)</f>
        <v>0</v>
      </c>
      <c r="K32" s="66">
        <f t="shared" si="3"/>
        <v>0</v>
      </c>
    </row>
    <row r="33" ht="15.75" customHeight="1">
      <c r="A33" s="67"/>
      <c r="B33" s="2"/>
      <c r="C33" s="2">
        <v>10.0</v>
      </c>
      <c r="D33" s="2" t="str">
        <f>COUNTIFS('Transaction History'!L:L,$A33,
          #REF!,$B33,
          'Transaction History'!B:B,"Bet Stake")</f>
        <v>#VALUE!</v>
      </c>
      <c r="E33" s="68" t="str">
        <f>COUNTIFS('Transaction History'!L:L,$A33,
          #REF!,$B33,
          #REF!,"Win")</f>
        <v>#VALUE!</v>
      </c>
      <c r="F33" s="2" t="str">
        <f>COUNTIFS('Transaction History'!L:L,$A33,
          #REF!,$B33,
          #REF!,"Loss")</f>
        <v>#VALUE!</v>
      </c>
      <c r="G33" s="67" t="str">
        <f t="shared" si="1"/>
        <v>#VALUE!</v>
      </c>
      <c r="H33" s="63" t="str">
        <f t="shared" si="2"/>
        <v>#VALUE!</v>
      </c>
      <c r="I33" s="64" t="str">
        <f>SUMIFS(#REF!,
        'Transaction History'!L:L,$A33,
        #REF!,$B33)
-
SUMIFS(#REF!,
        'Transaction History'!L:L,$A33,
        #REF!,$B33)</f>
        <v>#N/A</v>
      </c>
      <c r="J33" s="63">
        <f>IFERROR(
   (SUMIFS(#REF!,
           'Transaction History'!L:L,$A33,
           #REF!,$B33)
   -
    SUMIFS(#REF!,
           'Transaction History'!L:L,$A33,
           #REF!,$B33))
   /
   ABS(SUMIFS('Transaction History'!F:F,
              'Transaction History'!L:L,$A33,
              #REF!,$B33,
              'Transaction History'!B:B,"Bet Stake")),
0)</f>
        <v>0</v>
      </c>
      <c r="K33" s="66">
        <f t="shared" si="3"/>
        <v>0</v>
      </c>
    </row>
    <row r="34" ht="15.75" customHeight="1">
      <c r="A34" s="70"/>
      <c r="B34" s="69"/>
      <c r="C34" s="69">
        <v>10.0</v>
      </c>
      <c r="D34" s="69" t="str">
        <f>COUNTIFS('Transaction History'!L:L,$A34,
          #REF!,$B34,
          'Transaction History'!B:B,"Bet Stake")</f>
        <v>#VALUE!</v>
      </c>
      <c r="E34" s="78" t="str">
        <f>COUNTIFS('Transaction History'!L:L,$A34,
          #REF!,$B34,
          #REF!,"Win")</f>
        <v>#VALUE!</v>
      </c>
      <c r="F34" s="69" t="str">
        <f>COUNTIFS('Transaction History'!L:L,$A34,
          #REF!,$B34,
          #REF!,"Loss")</f>
        <v>#VALUE!</v>
      </c>
      <c r="G34" s="70" t="str">
        <f t="shared" si="1"/>
        <v>#VALUE!</v>
      </c>
      <c r="H34" s="71" t="str">
        <f t="shared" si="2"/>
        <v>#VALUE!</v>
      </c>
      <c r="I34" s="72" t="str">
        <f>SUMIFS(#REF!,
        'Transaction History'!L:L,$A34,
        #REF!,$B34)
-
SUMIFS(#REF!,
        'Transaction History'!L:L,$A34,
        #REF!,$B34)</f>
        <v>#N/A</v>
      </c>
      <c r="J34" s="71">
        <f>IFERROR(
   (SUMIFS(#REF!,
           'Transaction History'!L:L,$A34,
           #REF!,$B34)
   -
    SUMIFS(#REF!,
           'Transaction History'!L:L,$A34,
           #REF!,$B34))
   /
   ABS(SUMIFS('Transaction History'!F:F,
              'Transaction History'!L:L,$A34,
              #REF!,$B34,
              'Transaction History'!B:B,"Bet Stake")),
0)</f>
        <v>0</v>
      </c>
      <c r="K34" s="73">
        <f t="shared" si="3"/>
        <v>0</v>
      </c>
    </row>
    <row r="35" ht="15.75" customHeight="1">
      <c r="A35" s="2"/>
      <c r="B35" s="2"/>
      <c r="C35" s="61">
        <v>11.0</v>
      </c>
      <c r="D35" s="61" t="str">
        <f>COUNTIFS('Transaction History'!L:L,$A35,
          #REF!,$B35,
          'Transaction History'!B:B,"Bet Stake")</f>
        <v>#VALUE!</v>
      </c>
      <c r="E35" s="62" t="str">
        <f>COUNTIFS('Transaction History'!L:L,$A35,
          #REF!,$B35,
          #REF!,"Win")</f>
        <v>#VALUE!</v>
      </c>
      <c r="F35" s="2" t="str">
        <f>COUNTIFS('Transaction History'!L:L,$A35,
          #REF!,$B35,
          #REF!,"Loss")</f>
        <v>#VALUE!</v>
      </c>
      <c r="G35" s="60" t="str">
        <f t="shared" si="1"/>
        <v>#VALUE!</v>
      </c>
      <c r="H35" s="71" t="str">
        <f t="shared" si="2"/>
        <v>#VALUE!</v>
      </c>
      <c r="I35" s="72" t="str">
        <f>SUMIFS(#REF!,
        'Transaction History'!L:L,$A35,
        #REF!,$B35)
-
SUMIFS(#REF!,
        'Transaction History'!L:L,$A35,
        #REF!,$B35)</f>
        <v>#N/A</v>
      </c>
      <c r="J35" s="71">
        <f>IFERROR(
   (SUMIFS(#REF!,
           'Transaction History'!L:L,$A35,
           #REF!,$B35)
   -
    SUMIFS(#REF!,
           'Transaction History'!L:L,$A35,
           #REF!,$B35))
   /
   ABS(SUMIFS('Transaction History'!F:F,
              'Transaction History'!L:L,$A35,
              #REF!,$B35,
              'Transaction History'!B:B,"Bet Stake")),
0)</f>
        <v>0</v>
      </c>
      <c r="K35" s="73">
        <f t="shared" si="3"/>
        <v>0</v>
      </c>
    </row>
    <row r="36" ht="15.75" customHeight="1">
      <c r="A36" s="2"/>
      <c r="B36" s="2"/>
      <c r="C36" s="2">
        <v>11.0</v>
      </c>
      <c r="D36" s="2" t="str">
        <f>COUNTIFS('Transaction History'!L:L,$A36,
          #REF!,$B36,
          'Transaction History'!B:B,"Bet Stake")</f>
        <v>#VALUE!</v>
      </c>
      <c r="E36" s="68" t="str">
        <f>COUNTIFS('Transaction History'!L:L,$A36,
          #REF!,$B36,
          #REF!,"Win")</f>
        <v>#VALUE!</v>
      </c>
      <c r="F36" s="2" t="str">
        <f>COUNTIFS('Transaction History'!L:L,$A36,
          #REF!,$B36,
          #REF!,"Loss")</f>
        <v>#VALUE!</v>
      </c>
      <c r="G36" s="67" t="str">
        <f t="shared" si="1"/>
        <v>#VALUE!</v>
      </c>
      <c r="H36" s="63" t="str">
        <f t="shared" si="2"/>
        <v>#VALUE!</v>
      </c>
      <c r="I36" s="64" t="str">
        <f>SUMIFS(#REF!,
        'Transaction History'!L:L,$A36,
        #REF!,$B36)
-
SUMIFS(#REF!,
        'Transaction History'!L:L,$A36,
        #REF!,$B36)</f>
        <v>#N/A</v>
      </c>
      <c r="J36" s="63">
        <f>IFERROR(
   (SUMIFS(#REF!,
           'Transaction History'!L:L,$A36,
           #REF!,$B36)
   -
    SUMIFS(#REF!,
           'Transaction History'!L:L,$A36,
           #REF!,$B36))
   /
   ABS(SUMIFS('Transaction History'!F:F,
              'Transaction History'!L:L,$A36,
              #REF!,$B36,
              'Transaction History'!B:B,"Bet Stake")),
0)</f>
        <v>0</v>
      </c>
      <c r="K36" s="66">
        <f t="shared" si="3"/>
        <v>0</v>
      </c>
    </row>
    <row r="37" ht="15.75" customHeight="1">
      <c r="A37" s="2"/>
      <c r="B37" s="2"/>
      <c r="C37" s="2">
        <v>11.0</v>
      </c>
      <c r="D37" s="69" t="str">
        <f>COUNTIFS('Transaction History'!L:L,$A37,
          #REF!,$B37,
          'Transaction History'!B:B,"Bet Stake")</f>
        <v>#VALUE!</v>
      </c>
      <c r="E37" s="78" t="str">
        <f>COUNTIFS('Transaction History'!L:L,$A37,
          #REF!,$B37,
          #REF!,"Win")</f>
        <v>#VALUE!</v>
      </c>
      <c r="F37" s="69" t="str">
        <f>COUNTIFS('Transaction History'!L:L,$A37,
          #REF!,$B37,
          #REF!,"Loss")</f>
        <v>#VALUE!</v>
      </c>
      <c r="G37" s="70" t="str">
        <f t="shared" si="1"/>
        <v>#VALUE!</v>
      </c>
      <c r="H37" s="63" t="str">
        <f t="shared" si="2"/>
        <v>#VALUE!</v>
      </c>
      <c r="I37" s="64" t="str">
        <f>SUMIFS(#REF!,
        'Transaction History'!L:L,$A37,
        #REF!,$B37)
-
SUMIFS(#REF!,
        'Transaction History'!L:L,$A37,
        #REF!,$B37)</f>
        <v>#N/A</v>
      </c>
      <c r="J37" s="63">
        <f>IFERROR(
   (SUMIFS(#REF!,
           'Transaction History'!L:L,$A37,
           #REF!,$B37)
   -
    SUMIFS(#REF!,
           'Transaction History'!L:L,$A37,
           #REF!,$B37))
   /
   ABS(SUMIFS('Transaction History'!F:F,
              'Transaction History'!L:L,$A37,
              #REF!,$B37,
              'Transaction History'!B:B,"Bet Stake")),
0)</f>
        <v>0</v>
      </c>
      <c r="K37" s="66">
        <f t="shared" si="3"/>
        <v>0</v>
      </c>
    </row>
    <row r="38" ht="15.75" customHeight="1">
      <c r="A38" s="2"/>
      <c r="B38" s="2"/>
      <c r="C38" s="2">
        <v>12.0</v>
      </c>
      <c r="D38" s="61" t="str">
        <f>COUNTIFS('Transaction History'!L:L,$A38,
          #REF!,$B38,
          'Transaction History'!B:B,"Bet Stake")</f>
        <v>#VALUE!</v>
      </c>
      <c r="E38" s="62" t="str">
        <f>COUNTIFS('Transaction History'!L:L,$A38,
          #REF!,$B38,
          #REF!,"Win")</f>
        <v>#VALUE!</v>
      </c>
      <c r="F38" s="2" t="str">
        <f>COUNTIFS('Transaction History'!L:L,$A38,
          #REF!,$B38,
          #REF!,"Loss")</f>
        <v>#VALUE!</v>
      </c>
      <c r="G38" s="60" t="str">
        <f t="shared" si="1"/>
        <v>#VALUE!</v>
      </c>
      <c r="H38" s="71" t="str">
        <f t="shared" si="2"/>
        <v>#VALUE!</v>
      </c>
      <c r="I38" s="72" t="str">
        <f>SUMIFS(#REF!,
        'Transaction History'!L:L,$A38,
        #REF!,$B38)
-
SUMIFS(#REF!,
        'Transaction History'!L:L,$A38,
        #REF!,$B38)</f>
        <v>#N/A</v>
      </c>
      <c r="J38" s="71">
        <f>IFERROR(
   (SUMIFS(#REF!,
           'Transaction History'!L:L,$A38,
           #REF!,$B38)
   -
    SUMIFS(#REF!,
           'Transaction History'!L:L,$A38,
           #REF!,$B38))
   /
   ABS(SUMIFS('Transaction History'!F:F,
              'Transaction History'!L:L,$A38,
              #REF!,$B38,
              'Transaction History'!B:B,"Bet Stake")),
0)</f>
        <v>0</v>
      </c>
      <c r="K38" s="73">
        <f t="shared" si="3"/>
        <v>0</v>
      </c>
    </row>
    <row r="39" ht="15.75" customHeight="1">
      <c r="A39" s="2"/>
      <c r="B39" s="2"/>
      <c r="C39" s="2">
        <v>12.0</v>
      </c>
      <c r="D39" s="2" t="str">
        <f>COUNTIFS('Transaction History'!L:L,$A39,
          #REF!,$B39,
          'Transaction History'!B:B,"Bet Stake")</f>
        <v>#VALUE!</v>
      </c>
      <c r="E39" s="68" t="str">
        <f>COUNTIFS('Transaction History'!L:L,$A39,
          #REF!,$B39,
          #REF!,"Win")</f>
        <v>#VALUE!</v>
      </c>
      <c r="F39" s="2" t="str">
        <f>COUNTIFS('Transaction History'!L:L,$A39,
          #REF!,$B39,
          #REF!,"Loss")</f>
        <v>#VALUE!</v>
      </c>
      <c r="G39" s="67" t="str">
        <f t="shared" si="1"/>
        <v>#VALUE!</v>
      </c>
      <c r="H39" s="63" t="str">
        <f t="shared" si="2"/>
        <v>#VALUE!</v>
      </c>
      <c r="I39" s="64" t="str">
        <f>SUMIFS(#REF!,
        'Transaction History'!L:L,$A39,
        #REF!,$B39)
-
SUMIFS(#REF!,
        'Transaction History'!L:L,$A39,
        #REF!,$B39)</f>
        <v>#N/A</v>
      </c>
      <c r="J39" s="63">
        <f>IFERROR(
   (SUMIFS(#REF!,
           'Transaction History'!L:L,$A39,
           #REF!,$B39)
   -
    SUMIFS(#REF!,
           'Transaction History'!L:L,$A39,
           #REF!,$B39))
   /
   ABS(SUMIFS('Transaction History'!F:F,
              'Transaction History'!L:L,$A39,
              #REF!,$B39,
              'Transaction History'!B:B,"Bet Stake")),
0)</f>
        <v>0</v>
      </c>
      <c r="K39" s="66">
        <f t="shared" si="3"/>
        <v>0</v>
      </c>
    </row>
    <row r="40" ht="15.75" customHeight="1">
      <c r="A40" s="2"/>
      <c r="B40" s="2"/>
      <c r="C40" s="2">
        <v>12.0</v>
      </c>
      <c r="D40" s="69" t="str">
        <f>COUNTIFS('Transaction History'!L:L,$A40,
          #REF!,$B40,
          'Transaction History'!B:B,"Bet Stake")</f>
        <v>#VALUE!</v>
      </c>
      <c r="E40" s="78" t="str">
        <f>COUNTIFS('Transaction History'!L:L,$A40,
          #REF!,$B40,
          #REF!,"Win")</f>
        <v>#VALUE!</v>
      </c>
      <c r="F40" s="69" t="str">
        <f>COUNTIFS('Transaction History'!L:L,$A40,
          #REF!,$B40,
          #REF!,"Loss")</f>
        <v>#VALUE!</v>
      </c>
      <c r="G40" s="70" t="str">
        <f t="shared" si="1"/>
        <v>#VALUE!</v>
      </c>
      <c r="H40" s="63" t="str">
        <f t="shared" si="2"/>
        <v>#VALUE!</v>
      </c>
      <c r="I40" s="64" t="str">
        <f>SUMIFS(#REF!,
        'Transaction History'!L:L,$A40,
        #REF!,$B40)
-
SUMIFS(#REF!,
        'Transaction History'!L:L,$A40,
        #REF!,$B40)</f>
        <v>#N/A</v>
      </c>
      <c r="J40" s="63">
        <f>IFERROR(
   (SUMIFS(#REF!,
           'Transaction History'!L:L,$A40,
           #REF!,$B40)
   -
    SUMIFS(#REF!,
           'Transaction History'!L:L,$A40,
           #REF!,$B40))
   /
   ABS(SUMIFS('Transaction History'!F:F,
              'Transaction History'!L:L,$A40,
              #REF!,$B40,
              'Transaction History'!B:B,"Bet Stake")),
0)</f>
        <v>0</v>
      </c>
      <c r="K40" s="66">
        <f t="shared" si="3"/>
        <v>0</v>
      </c>
    </row>
    <row r="41" ht="15.75" customHeight="1">
      <c r="A41" s="2"/>
      <c r="B41" s="2"/>
      <c r="C41" s="2">
        <v>13.0</v>
      </c>
      <c r="D41" s="61" t="str">
        <f>COUNTIFS('Transaction History'!L:L,$A41,
          #REF!,$B41,
          'Transaction History'!B:B,"Bet Stake")</f>
        <v>#VALUE!</v>
      </c>
      <c r="E41" s="62" t="str">
        <f>COUNTIFS('Transaction History'!L:L,$A41,
          #REF!,$B41,
          #REF!,"Win")</f>
        <v>#VALUE!</v>
      </c>
      <c r="F41" s="2" t="str">
        <f>COUNTIFS('Transaction History'!L:L,$A41,
          #REF!,$B41,
          #REF!,"Loss")</f>
        <v>#VALUE!</v>
      </c>
      <c r="G41" s="60" t="str">
        <f t="shared" si="1"/>
        <v>#VALUE!</v>
      </c>
      <c r="H41" s="71" t="str">
        <f t="shared" si="2"/>
        <v>#VALUE!</v>
      </c>
      <c r="I41" s="72" t="str">
        <f>SUMIFS(#REF!,
        'Transaction History'!L:L,$A41,
        #REF!,$B41)
-
SUMIFS(#REF!,
        'Transaction History'!L:L,$A41,
        #REF!,$B41)</f>
        <v>#N/A</v>
      </c>
      <c r="J41" s="71">
        <f>IFERROR(
   (SUMIFS(#REF!,
           'Transaction History'!L:L,$A41,
           #REF!,$B41)
   -
    SUMIFS(#REF!,
           'Transaction History'!L:L,$A41,
           #REF!,$B41))
   /
   ABS(SUMIFS('Transaction History'!F:F,
              'Transaction History'!L:L,$A41,
              #REF!,$B41,
              'Transaction History'!B:B,"Bet Stake")),
0)</f>
        <v>0</v>
      </c>
      <c r="K41" s="73">
        <f t="shared" si="3"/>
        <v>0</v>
      </c>
    </row>
    <row r="42" ht="15.75" customHeight="1">
      <c r="A42" s="2"/>
      <c r="B42" s="2"/>
      <c r="C42" s="2">
        <v>13.0</v>
      </c>
      <c r="D42" s="2" t="str">
        <f>COUNTIFS('Transaction History'!L:L,$A42,
          #REF!,$B42,
          'Transaction History'!B:B,"Bet Stake")</f>
        <v>#VALUE!</v>
      </c>
      <c r="E42" s="68" t="str">
        <f>COUNTIFS('Transaction History'!L:L,$A42,
          #REF!,$B42,
          #REF!,"Win")</f>
        <v>#VALUE!</v>
      </c>
      <c r="F42" s="2" t="str">
        <f>COUNTIFS('Transaction History'!L:L,$A42,
          #REF!,$B42,
          #REF!,"Loss")</f>
        <v>#VALUE!</v>
      </c>
      <c r="G42" s="67" t="str">
        <f t="shared" si="1"/>
        <v>#VALUE!</v>
      </c>
      <c r="H42" s="63" t="str">
        <f t="shared" si="2"/>
        <v>#VALUE!</v>
      </c>
      <c r="I42" s="64" t="str">
        <f>SUMIFS(#REF!,
        'Transaction History'!L:L,$A42,
        #REF!,$B42)
-
SUMIFS(#REF!,
        'Transaction History'!L:L,$A42,
        #REF!,$B42)</f>
        <v>#N/A</v>
      </c>
      <c r="J42" s="63">
        <f>IFERROR(
   (SUMIFS(#REF!,
           'Transaction History'!L:L,$A42,
           #REF!,$B42)
   -
    SUMIFS(#REF!,
           'Transaction History'!L:L,$A42,
           #REF!,$B42))
   /
   ABS(SUMIFS('Transaction History'!F:F,
              'Transaction History'!L:L,$A42,
              #REF!,$B42,
              'Transaction History'!B:B,"Bet Stake")),
0)</f>
        <v>0</v>
      </c>
      <c r="K42" s="66">
        <f t="shared" si="3"/>
        <v>0</v>
      </c>
    </row>
    <row r="43" ht="15.75" customHeight="1">
      <c r="A43" s="2"/>
      <c r="B43" s="2"/>
      <c r="C43" s="2">
        <v>13.0</v>
      </c>
      <c r="D43" s="69" t="str">
        <f>COUNTIFS('Transaction History'!L:L,$A43,
          #REF!,$B43,
          'Transaction History'!B:B,"Bet Stake")</f>
        <v>#VALUE!</v>
      </c>
      <c r="E43" s="78" t="str">
        <f>COUNTIFS('Transaction History'!L:L,$A43,
          #REF!,$B43,
          #REF!,"Win")</f>
        <v>#VALUE!</v>
      </c>
      <c r="F43" s="69" t="str">
        <f>COUNTIFS('Transaction History'!L:L,$A43,
          #REF!,$B43,
          #REF!,"Loss")</f>
        <v>#VALUE!</v>
      </c>
      <c r="G43" s="70" t="str">
        <f t="shared" si="1"/>
        <v>#VALUE!</v>
      </c>
      <c r="H43" s="63" t="str">
        <f t="shared" si="2"/>
        <v>#VALUE!</v>
      </c>
      <c r="I43" s="64" t="str">
        <f>SUMIFS(#REF!,
        'Transaction History'!L:L,$A43,
        #REF!,$B43)
-
SUMIFS(#REF!,
        'Transaction History'!L:L,$A43,
        #REF!,$B43)</f>
        <v>#N/A</v>
      </c>
      <c r="J43" s="63">
        <f>IFERROR(
   (SUMIFS(#REF!,
           'Transaction History'!L:L,$A43,
           #REF!,$B43)
   -
    SUMIFS(#REF!,
           'Transaction History'!L:L,$A43,
           #REF!,$B43))
   /
   ABS(SUMIFS('Transaction History'!F:F,
              'Transaction History'!L:L,$A43,
              #REF!,$B43,
              'Transaction History'!B:B,"Bet Stake")),
0)</f>
        <v>0</v>
      </c>
      <c r="K43" s="66">
        <f t="shared" si="3"/>
        <v>0</v>
      </c>
    </row>
    <row r="44" ht="15.75" customHeight="1">
      <c r="A44" s="2"/>
      <c r="B44" s="2"/>
      <c r="C44" s="2">
        <v>14.0</v>
      </c>
      <c r="D44" s="61" t="str">
        <f>COUNTIFS('Transaction History'!L:L,$A44,
          #REF!,$B44,
          'Transaction History'!B:B,"Bet Stake")</f>
        <v>#VALUE!</v>
      </c>
      <c r="E44" s="62" t="str">
        <f>COUNTIFS('Transaction History'!L:L,$A44,
          #REF!,$B44,
          #REF!,"Win")</f>
        <v>#VALUE!</v>
      </c>
      <c r="F44" s="2" t="str">
        <f>COUNTIFS('Transaction History'!L:L,$A44,
          #REF!,$B44,
          #REF!,"Loss")</f>
        <v>#VALUE!</v>
      </c>
      <c r="G44" s="60" t="str">
        <f t="shared" si="1"/>
        <v>#VALUE!</v>
      </c>
      <c r="H44" s="71" t="str">
        <f t="shared" si="2"/>
        <v>#VALUE!</v>
      </c>
      <c r="I44" s="72" t="str">
        <f>SUMIFS(#REF!,
        'Transaction History'!L:L,$A44,
        #REF!,$B44)
-
SUMIFS(#REF!,
        'Transaction History'!L:L,$A44,
        #REF!,$B44)</f>
        <v>#N/A</v>
      </c>
      <c r="J44" s="71">
        <f>IFERROR(
   (SUMIFS(#REF!,
           'Transaction History'!L:L,$A44,
           #REF!,$B44)
   -
    SUMIFS(#REF!,
           'Transaction History'!L:L,$A44,
           #REF!,$B44))
   /
   ABS(SUMIFS('Transaction History'!F:F,
              'Transaction History'!L:L,$A44,
              #REF!,$B44,
              'Transaction History'!B:B,"Bet Stake")),
0)</f>
        <v>0</v>
      </c>
      <c r="K44" s="73">
        <f t="shared" si="3"/>
        <v>0</v>
      </c>
    </row>
    <row r="45" ht="15.75" customHeight="1">
      <c r="A45" s="2"/>
      <c r="B45" s="2"/>
      <c r="C45" s="2">
        <v>14.0</v>
      </c>
      <c r="D45" s="2" t="str">
        <f>COUNTIFS('Transaction History'!L:L,$A45,
          #REF!,$B45,
          'Transaction History'!B:B,"Bet Stake")</f>
        <v>#VALUE!</v>
      </c>
      <c r="E45" s="68" t="str">
        <f>COUNTIFS('Transaction History'!L:L,$A45,
          #REF!,$B45,
          #REF!,"Win")</f>
        <v>#VALUE!</v>
      </c>
      <c r="F45" s="2" t="str">
        <f>COUNTIFS('Transaction History'!L:L,$A45,
          #REF!,$B45,
          #REF!,"Loss")</f>
        <v>#VALUE!</v>
      </c>
      <c r="G45" s="67" t="str">
        <f t="shared" si="1"/>
        <v>#VALUE!</v>
      </c>
      <c r="H45" s="63" t="str">
        <f t="shared" si="2"/>
        <v>#VALUE!</v>
      </c>
      <c r="I45" s="64" t="str">
        <f>SUMIFS(#REF!,
        'Transaction History'!L:L,$A45,
        #REF!,$B45)
-
SUMIFS(#REF!,
        'Transaction History'!L:L,$A45,
        #REF!,$B45)</f>
        <v>#N/A</v>
      </c>
      <c r="J45" s="63">
        <f>IFERROR(
   (SUMIFS(#REF!,
           'Transaction History'!L:L,$A45,
           #REF!,$B45)
   -
    SUMIFS(#REF!,
           'Transaction History'!L:L,$A45,
           #REF!,$B45))
   /
   ABS(SUMIFS('Transaction History'!F:F,
              'Transaction History'!L:L,$A45,
              #REF!,$B45,
              'Transaction History'!B:B,"Bet Stake")),
0)</f>
        <v>0</v>
      </c>
      <c r="K45" s="66">
        <f t="shared" si="3"/>
        <v>0</v>
      </c>
    </row>
    <row r="46" ht="15.75" customHeight="1">
      <c r="A46" s="2"/>
      <c r="B46" s="2"/>
      <c r="C46" s="2">
        <v>14.0</v>
      </c>
      <c r="D46" s="69" t="str">
        <f>COUNTIFS('Transaction History'!L:L,$A46,
          #REF!,$B46,
          'Transaction History'!B:B,"Bet Stake")</f>
        <v>#VALUE!</v>
      </c>
      <c r="E46" s="78" t="str">
        <f>COUNTIFS('Transaction History'!L:L,$A46,
          #REF!,$B46,
          #REF!,"Win")</f>
        <v>#VALUE!</v>
      </c>
      <c r="F46" s="69" t="str">
        <f>COUNTIFS('Transaction History'!L:L,$A46,
          #REF!,$B46,
          #REF!,"Loss")</f>
        <v>#VALUE!</v>
      </c>
      <c r="G46" s="70" t="str">
        <f t="shared" si="1"/>
        <v>#VALUE!</v>
      </c>
      <c r="H46" s="63" t="str">
        <f t="shared" si="2"/>
        <v>#VALUE!</v>
      </c>
      <c r="I46" s="64" t="str">
        <f>SUMIFS(#REF!,
        'Transaction History'!L:L,$A46,
        #REF!,$B46)
-
SUMIFS(#REF!,
        'Transaction History'!L:L,$A46,
        #REF!,$B46)</f>
        <v>#N/A</v>
      </c>
      <c r="J46" s="63">
        <f>IFERROR(
   (SUMIFS(#REF!,
           'Transaction History'!L:L,$A46,
           #REF!,$B46)
   -
    SUMIFS(#REF!,
           'Transaction History'!L:L,$A46,
           #REF!,$B46))
   /
   ABS(SUMIFS('Transaction History'!F:F,
              'Transaction History'!L:L,$A46,
              #REF!,$B46,
              'Transaction History'!B:B,"Bet Stake")),
0)</f>
        <v>0</v>
      </c>
      <c r="K46" s="66">
        <f t="shared" si="3"/>
        <v>0</v>
      </c>
    </row>
    <row r="47" ht="15.75" customHeight="1">
      <c r="A47" s="2"/>
      <c r="B47" s="2"/>
      <c r="C47" s="2">
        <v>15.0</v>
      </c>
      <c r="D47" s="61" t="str">
        <f>COUNTIFS('Transaction History'!L:L,$A47,
          #REF!,$B47,
          'Transaction History'!B:B,"Bet Stake")</f>
        <v>#VALUE!</v>
      </c>
      <c r="E47" s="62" t="str">
        <f>COUNTIFS('Transaction History'!L:L,$A47,
          #REF!,$B47,
          #REF!,"Win")</f>
        <v>#VALUE!</v>
      </c>
      <c r="F47" s="2" t="str">
        <f>COUNTIFS('Transaction History'!L:L,$A47,
          #REF!,$B47,
          #REF!,"Loss")</f>
        <v>#VALUE!</v>
      </c>
      <c r="G47" s="60" t="str">
        <f t="shared" si="1"/>
        <v>#VALUE!</v>
      </c>
      <c r="H47" s="71" t="str">
        <f t="shared" si="2"/>
        <v>#VALUE!</v>
      </c>
      <c r="I47" s="72" t="str">
        <f>SUMIFS(#REF!,
        'Transaction History'!L:L,$A47,
        #REF!,$B47)
-
SUMIFS(#REF!,
        'Transaction History'!L:L,$A47,
        #REF!,$B47)</f>
        <v>#N/A</v>
      </c>
      <c r="J47" s="71">
        <f>IFERROR(
   (SUMIFS(#REF!,
           'Transaction History'!L:L,$A47,
           #REF!,$B47)
   -
    SUMIFS(#REF!,
           'Transaction History'!L:L,$A47,
           #REF!,$B47))
   /
   ABS(SUMIFS('Transaction History'!F:F,
              'Transaction History'!L:L,$A47,
              #REF!,$B47,
              'Transaction History'!B:B,"Bet Stake")),
0)</f>
        <v>0</v>
      </c>
      <c r="K47" s="73">
        <f t="shared" si="3"/>
        <v>0</v>
      </c>
    </row>
    <row r="48" ht="15.75" customHeight="1">
      <c r="A48" s="2"/>
      <c r="B48" s="2"/>
      <c r="C48" s="2">
        <v>15.0</v>
      </c>
      <c r="D48" s="2" t="str">
        <f>COUNTIFS('Transaction History'!L:L,$A48,
          #REF!,$B48,
          'Transaction History'!B:B,"Bet Stake")</f>
        <v>#VALUE!</v>
      </c>
      <c r="E48" s="68" t="str">
        <f>COUNTIFS('Transaction History'!L:L,$A48,
          #REF!,$B48,
          #REF!,"Win")</f>
        <v>#VALUE!</v>
      </c>
      <c r="F48" s="2" t="str">
        <f>COUNTIFS('Transaction History'!L:L,$A48,
          #REF!,$B48,
          #REF!,"Loss")</f>
        <v>#VALUE!</v>
      </c>
      <c r="G48" s="67" t="str">
        <f t="shared" si="1"/>
        <v>#VALUE!</v>
      </c>
      <c r="H48" s="63" t="str">
        <f t="shared" si="2"/>
        <v>#VALUE!</v>
      </c>
      <c r="I48" s="64" t="str">
        <f>SUMIFS(#REF!,
        'Transaction History'!L:L,$A48,
        #REF!,$B48)
-
SUMIFS(#REF!,
        'Transaction History'!L:L,$A48,
        #REF!,$B48)</f>
        <v>#N/A</v>
      </c>
      <c r="J48" s="63">
        <f>IFERROR(
   (SUMIFS(#REF!,
           'Transaction History'!L:L,$A48,
           #REF!,$B48)
   -
    SUMIFS(#REF!,
           'Transaction History'!L:L,$A48,
           #REF!,$B48))
   /
   ABS(SUMIFS('Transaction History'!F:F,
              'Transaction History'!L:L,$A48,
              #REF!,$B48,
              'Transaction History'!B:B,"Bet Stake")),
0)</f>
        <v>0</v>
      </c>
      <c r="K48" s="66">
        <f t="shared" si="3"/>
        <v>0</v>
      </c>
    </row>
    <row r="49" ht="15.75" customHeight="1">
      <c r="A49" s="2"/>
      <c r="B49" s="2"/>
      <c r="C49" s="2">
        <v>15.0</v>
      </c>
      <c r="D49" s="69" t="str">
        <f>COUNTIFS('Transaction History'!L:L,$A49,
          #REF!,$B49,
          'Transaction History'!B:B,"Bet Stake")</f>
        <v>#VALUE!</v>
      </c>
      <c r="E49" s="78" t="str">
        <f>COUNTIFS('Transaction History'!L:L,$A49,
          #REF!,$B49,
          #REF!,"Win")</f>
        <v>#VALUE!</v>
      </c>
      <c r="F49" s="69" t="str">
        <f>COUNTIFS('Transaction History'!L:L,$A49,
          #REF!,$B49,
          #REF!,"Loss")</f>
        <v>#VALUE!</v>
      </c>
      <c r="G49" s="70" t="str">
        <f t="shared" si="1"/>
        <v>#VALUE!</v>
      </c>
      <c r="H49" s="63" t="str">
        <f t="shared" si="2"/>
        <v>#VALUE!</v>
      </c>
      <c r="I49" s="64" t="str">
        <f>SUMIFS(#REF!,
        'Transaction History'!L:L,$A49,
        #REF!,$B49)
-
SUMIFS(#REF!,
        'Transaction History'!L:L,$A49,
        #REF!,$B49)</f>
        <v>#N/A</v>
      </c>
      <c r="J49" s="63">
        <f>IFERROR(
   (SUMIFS(#REF!,
           'Transaction History'!L:L,$A49,
           #REF!,$B49)
   -
    SUMIFS(#REF!,
           'Transaction History'!L:L,$A49,
           #REF!,$B49))
   /
   ABS(SUMIFS('Transaction History'!F:F,
              'Transaction History'!L:L,$A49,
              #REF!,$B49,
              'Transaction History'!B:B,"Bet Stake")),
0)</f>
        <v>0</v>
      </c>
      <c r="K49" s="66">
        <f t="shared" si="3"/>
        <v>0</v>
      </c>
    </row>
    <row r="50" ht="15.75" customHeight="1">
      <c r="A50" s="2"/>
      <c r="B50" s="2"/>
      <c r="C50" s="2">
        <v>16.0</v>
      </c>
      <c r="D50" s="61" t="str">
        <f>COUNTIFS('Transaction History'!L:L,$A50,
          #REF!,$B50,
          'Transaction History'!B:B,"Bet Stake")</f>
        <v>#VALUE!</v>
      </c>
      <c r="E50" s="62" t="str">
        <f>COUNTIFS('Transaction History'!L:L,$A50,
          #REF!,$B50,
          #REF!,"Win")</f>
        <v>#VALUE!</v>
      </c>
      <c r="F50" s="2" t="str">
        <f>COUNTIFS('Transaction History'!L:L,$A50,
          #REF!,$B50,
          #REF!,"Loss")</f>
        <v>#VALUE!</v>
      </c>
      <c r="G50" s="60" t="str">
        <f t="shared" si="1"/>
        <v>#VALUE!</v>
      </c>
      <c r="H50" s="71" t="str">
        <f t="shared" si="2"/>
        <v>#VALUE!</v>
      </c>
      <c r="I50" s="72" t="str">
        <f>SUMIFS(#REF!,
        'Transaction History'!L:L,$A50,
        #REF!,$B50)
-
SUMIFS(#REF!,
        'Transaction History'!L:L,$A50,
        #REF!,$B50)</f>
        <v>#N/A</v>
      </c>
      <c r="J50" s="71">
        <f>IFERROR(
   (SUMIFS(#REF!,
           'Transaction History'!L:L,$A50,
           #REF!,$B50)
   -
    SUMIFS(#REF!,
           'Transaction History'!L:L,$A50,
           #REF!,$B50))
   /
   ABS(SUMIFS('Transaction History'!F:F,
              'Transaction History'!L:L,$A50,
              #REF!,$B50,
              'Transaction History'!B:B,"Bet Stake")),
0)</f>
        <v>0</v>
      </c>
      <c r="K50" s="73">
        <f t="shared" si="3"/>
        <v>0</v>
      </c>
    </row>
    <row r="51" ht="15.75" customHeight="1">
      <c r="A51" s="2"/>
      <c r="B51" s="2"/>
      <c r="C51" s="2">
        <v>16.0</v>
      </c>
      <c r="D51" s="2" t="str">
        <f>COUNTIFS('Transaction History'!L:L,$A51,
          #REF!,$B51,
          'Transaction History'!B:B,"Bet Stake")</f>
        <v>#VALUE!</v>
      </c>
      <c r="E51" s="68" t="str">
        <f>COUNTIFS('Transaction History'!L:L,$A51,
          #REF!,$B51,
          #REF!,"Win")</f>
        <v>#VALUE!</v>
      </c>
      <c r="F51" s="2" t="str">
        <f>COUNTIFS('Transaction History'!L:L,$A51,
          #REF!,$B51,
          #REF!,"Loss")</f>
        <v>#VALUE!</v>
      </c>
      <c r="G51" s="67" t="str">
        <f t="shared" si="1"/>
        <v>#VALUE!</v>
      </c>
      <c r="H51" s="63" t="str">
        <f t="shared" si="2"/>
        <v>#VALUE!</v>
      </c>
      <c r="I51" s="64" t="str">
        <f>SUMIFS(#REF!,
        'Transaction History'!L:L,$A51,
        #REF!,$B51)
-
SUMIFS(#REF!,
        'Transaction History'!L:L,$A51,
        #REF!,$B51)</f>
        <v>#N/A</v>
      </c>
      <c r="J51" s="63">
        <f>IFERROR(
   (SUMIFS(#REF!,
           'Transaction History'!L:L,$A51,
           #REF!,$B51)
   -
    SUMIFS(#REF!,
           'Transaction History'!L:L,$A51,
           #REF!,$B51))
   /
   ABS(SUMIFS('Transaction History'!F:F,
              'Transaction History'!L:L,$A51,
              #REF!,$B51,
              'Transaction History'!B:B,"Bet Stake")),
0)</f>
        <v>0</v>
      </c>
      <c r="K51" s="66">
        <f t="shared" si="3"/>
        <v>0</v>
      </c>
    </row>
    <row r="52" ht="15.75" customHeight="1">
      <c r="A52" s="2"/>
      <c r="B52" s="2"/>
      <c r="C52" s="2">
        <v>16.0</v>
      </c>
      <c r="D52" s="69" t="str">
        <f>COUNTIFS('Transaction History'!L:L,$A52,
          #REF!,$B52,
          'Transaction History'!B:B,"Bet Stake")</f>
        <v>#VALUE!</v>
      </c>
      <c r="E52" s="78" t="str">
        <f>COUNTIFS('Transaction History'!L:L,$A52,
          #REF!,$B52,
          #REF!,"Win")</f>
        <v>#VALUE!</v>
      </c>
      <c r="F52" s="69" t="str">
        <f>COUNTIFS('Transaction History'!L:L,$A52,
          #REF!,$B52,
          #REF!,"Loss")</f>
        <v>#VALUE!</v>
      </c>
      <c r="G52" s="70" t="str">
        <f t="shared" si="1"/>
        <v>#VALUE!</v>
      </c>
      <c r="H52" s="63" t="str">
        <f t="shared" si="2"/>
        <v>#VALUE!</v>
      </c>
      <c r="I52" s="64" t="str">
        <f>SUMIFS(#REF!,
        'Transaction History'!L:L,$A52,
        #REF!,$B52)
-
SUMIFS(#REF!,
        'Transaction History'!L:L,$A52,
        #REF!,$B52)</f>
        <v>#N/A</v>
      </c>
      <c r="J52" s="63">
        <f>IFERROR(
   (SUMIFS(#REF!,
           'Transaction History'!L:L,$A52,
           #REF!,$B52)
   -
    SUMIFS(#REF!,
           'Transaction History'!L:L,$A52,
           #REF!,$B52))
   /
   ABS(SUMIFS('Transaction History'!F:F,
              'Transaction History'!L:L,$A52,
              #REF!,$B52,
              'Transaction History'!B:B,"Bet Stake")),
0)</f>
        <v>0</v>
      </c>
      <c r="K52" s="66">
        <f t="shared" si="3"/>
        <v>0</v>
      </c>
    </row>
    <row r="53" ht="15.75" customHeight="1">
      <c r="H53" s="46"/>
      <c r="I53" s="86"/>
      <c r="J53" s="46"/>
      <c r="K53" s="86"/>
    </row>
    <row r="54" ht="15.75" customHeight="1">
      <c r="H54" s="46"/>
      <c r="I54" s="86"/>
      <c r="J54" s="46"/>
      <c r="K54" s="86"/>
    </row>
    <row r="55" ht="15.75" customHeight="1">
      <c r="H55" s="46"/>
      <c r="I55" s="86"/>
      <c r="J55" s="46"/>
      <c r="K55" s="86"/>
    </row>
    <row r="56" ht="15.75" customHeight="1">
      <c r="H56" s="46"/>
      <c r="I56" s="86"/>
      <c r="J56" s="46"/>
      <c r="K56" s="86"/>
    </row>
    <row r="57" ht="15.75" customHeight="1">
      <c r="H57" s="46"/>
      <c r="I57" s="86"/>
      <c r="J57" s="46"/>
      <c r="K57" s="86"/>
    </row>
    <row r="58" ht="15.75" customHeight="1">
      <c r="H58" s="46"/>
      <c r="I58" s="86"/>
      <c r="J58" s="46"/>
      <c r="K58" s="86"/>
    </row>
    <row r="59" ht="15.75" customHeight="1">
      <c r="H59" s="46"/>
      <c r="I59" s="86"/>
      <c r="J59" s="46"/>
      <c r="K59" s="86"/>
    </row>
    <row r="60" ht="15.75" customHeight="1">
      <c r="H60" s="46"/>
      <c r="I60" s="86"/>
      <c r="J60" s="46"/>
      <c r="K60" s="86"/>
    </row>
    <row r="61" ht="15.75" customHeight="1">
      <c r="H61" s="46"/>
      <c r="I61" s="86"/>
      <c r="J61" s="46"/>
      <c r="K61" s="86"/>
    </row>
    <row r="62" ht="15.75" customHeight="1">
      <c r="H62" s="46"/>
      <c r="I62" s="86"/>
      <c r="J62" s="46"/>
      <c r="K62" s="86"/>
    </row>
    <row r="63" ht="15.75" customHeight="1">
      <c r="H63" s="46"/>
      <c r="I63" s="86"/>
      <c r="J63" s="46"/>
      <c r="K63" s="86"/>
    </row>
    <row r="64" ht="15.75" customHeight="1">
      <c r="H64" s="46"/>
      <c r="I64" s="86"/>
      <c r="J64" s="46"/>
      <c r="K64" s="86"/>
    </row>
    <row r="65" ht="15.75" customHeight="1">
      <c r="H65" s="46"/>
      <c r="I65" s="86"/>
      <c r="J65" s="46"/>
      <c r="K65" s="86"/>
    </row>
    <row r="66" ht="15.75" customHeight="1">
      <c r="H66" s="46"/>
      <c r="I66" s="86"/>
      <c r="J66" s="46"/>
      <c r="K66" s="86"/>
    </row>
    <row r="67" ht="15.75" customHeight="1">
      <c r="H67" s="46"/>
      <c r="I67" s="86"/>
      <c r="J67" s="46"/>
      <c r="K67" s="86"/>
    </row>
    <row r="68" ht="15.75" customHeight="1">
      <c r="H68" s="46"/>
      <c r="I68" s="86"/>
      <c r="J68" s="46"/>
      <c r="K68" s="86"/>
    </row>
    <row r="69" ht="15.75" customHeight="1">
      <c r="H69" s="46"/>
      <c r="I69" s="86"/>
      <c r="J69" s="46"/>
      <c r="K69" s="86"/>
    </row>
    <row r="70" ht="15.75" customHeight="1">
      <c r="H70" s="46"/>
      <c r="I70" s="86"/>
      <c r="J70" s="46"/>
      <c r="K70" s="86"/>
    </row>
    <row r="71" ht="15.75" customHeight="1">
      <c r="H71" s="46"/>
      <c r="I71" s="86"/>
      <c r="J71" s="46"/>
      <c r="K71" s="86"/>
    </row>
    <row r="72" ht="15.75" customHeight="1">
      <c r="H72" s="46"/>
      <c r="I72" s="86"/>
      <c r="J72" s="46"/>
      <c r="K72" s="86"/>
    </row>
    <row r="73" ht="15.75" customHeight="1">
      <c r="H73" s="46"/>
      <c r="I73" s="86"/>
      <c r="J73" s="46"/>
      <c r="K73" s="86"/>
    </row>
    <row r="74" ht="15.75" customHeight="1">
      <c r="H74" s="46"/>
      <c r="I74" s="86"/>
      <c r="J74" s="46"/>
      <c r="K74" s="86"/>
    </row>
    <row r="75" ht="15.75" customHeight="1">
      <c r="H75" s="46"/>
      <c r="I75" s="86"/>
      <c r="J75" s="46"/>
      <c r="K75" s="86"/>
    </row>
    <row r="76" ht="15.75" customHeight="1">
      <c r="H76" s="46"/>
      <c r="I76" s="86"/>
      <c r="J76" s="46"/>
      <c r="K76" s="86"/>
    </row>
    <row r="77" ht="15.75" customHeight="1">
      <c r="H77" s="46"/>
      <c r="I77" s="86"/>
      <c r="J77" s="46"/>
      <c r="K77" s="86"/>
    </row>
    <row r="78" ht="15.75" customHeight="1">
      <c r="H78" s="46"/>
      <c r="I78" s="86"/>
      <c r="J78" s="46"/>
      <c r="K78" s="86"/>
    </row>
    <row r="79" ht="15.75" customHeight="1">
      <c r="H79" s="46"/>
      <c r="I79" s="86"/>
      <c r="J79" s="46"/>
      <c r="K79" s="86"/>
    </row>
    <row r="80" ht="15.75" customHeight="1">
      <c r="H80" s="46"/>
      <c r="I80" s="86"/>
      <c r="J80" s="46"/>
      <c r="K80" s="86"/>
    </row>
    <row r="81" ht="15.75" customHeight="1">
      <c r="H81" s="46"/>
      <c r="I81" s="86"/>
      <c r="J81" s="46"/>
      <c r="K81" s="86"/>
    </row>
    <row r="82" ht="15.75" customHeight="1">
      <c r="H82" s="46"/>
      <c r="I82" s="86"/>
      <c r="J82" s="46"/>
      <c r="K82" s="86"/>
    </row>
    <row r="83" ht="15.75" customHeight="1">
      <c r="H83" s="46"/>
      <c r="I83" s="86"/>
      <c r="J83" s="46"/>
      <c r="K83" s="86"/>
    </row>
    <row r="84" ht="15.75" customHeight="1">
      <c r="H84" s="46"/>
      <c r="I84" s="86"/>
      <c r="J84" s="46"/>
      <c r="K84" s="86"/>
    </row>
    <row r="85" ht="15.75" customHeight="1">
      <c r="H85" s="46"/>
      <c r="I85" s="86"/>
      <c r="J85" s="46"/>
      <c r="K85" s="86"/>
    </row>
    <row r="86" ht="15.75" customHeight="1">
      <c r="H86" s="46"/>
      <c r="I86" s="86"/>
      <c r="J86" s="46"/>
      <c r="K86" s="86"/>
    </row>
    <row r="87" ht="15.75" customHeight="1">
      <c r="H87" s="46"/>
      <c r="I87" s="86"/>
      <c r="J87" s="46"/>
      <c r="K87" s="86"/>
    </row>
    <row r="88" ht="15.75" customHeight="1">
      <c r="H88" s="46"/>
      <c r="I88" s="86"/>
      <c r="J88" s="46"/>
      <c r="K88" s="86"/>
    </row>
    <row r="89" ht="15.75" customHeight="1">
      <c r="H89" s="46"/>
      <c r="I89" s="86"/>
      <c r="J89" s="46"/>
      <c r="K89" s="86"/>
    </row>
    <row r="90" ht="15.75" customHeight="1">
      <c r="H90" s="46"/>
      <c r="I90" s="86"/>
      <c r="J90" s="46"/>
      <c r="K90" s="86"/>
    </row>
    <row r="91" ht="15.75" customHeight="1">
      <c r="H91" s="46"/>
      <c r="I91" s="86"/>
      <c r="J91" s="46"/>
      <c r="K91" s="86"/>
    </row>
    <row r="92" ht="15.75" customHeight="1">
      <c r="H92" s="46"/>
      <c r="I92" s="86"/>
      <c r="J92" s="46"/>
      <c r="K92" s="86"/>
    </row>
    <row r="93" ht="15.75" customHeight="1">
      <c r="H93" s="46"/>
      <c r="I93" s="86"/>
      <c r="J93" s="46"/>
      <c r="K93" s="86"/>
    </row>
    <row r="94" ht="15.75" customHeight="1">
      <c r="H94" s="46"/>
      <c r="I94" s="86"/>
      <c r="J94" s="46"/>
      <c r="K94" s="86"/>
    </row>
    <row r="95" ht="15.75" customHeight="1">
      <c r="H95" s="46"/>
      <c r="I95" s="86"/>
      <c r="J95" s="46"/>
      <c r="K95" s="86"/>
    </row>
    <row r="96" ht="15.75" customHeight="1">
      <c r="H96" s="46"/>
      <c r="I96" s="86"/>
      <c r="J96" s="46"/>
      <c r="K96" s="86"/>
    </row>
    <row r="97" ht="15.75" customHeight="1">
      <c r="H97" s="46"/>
      <c r="I97" s="86"/>
      <c r="J97" s="46"/>
      <c r="K97" s="86"/>
    </row>
    <row r="98" ht="15.75" customHeight="1">
      <c r="H98" s="46"/>
      <c r="I98" s="86"/>
      <c r="J98" s="46"/>
      <c r="K98" s="86"/>
    </row>
    <row r="99" ht="15.75" customHeight="1">
      <c r="H99" s="46"/>
      <c r="I99" s="86"/>
      <c r="J99" s="46"/>
      <c r="K99" s="86"/>
    </row>
    <row r="100" ht="15.75" customHeight="1">
      <c r="H100" s="46"/>
      <c r="I100" s="86"/>
      <c r="J100" s="46"/>
      <c r="K100" s="86"/>
    </row>
    <row r="101" ht="15.75" customHeight="1">
      <c r="H101" s="46"/>
      <c r="I101" s="86"/>
      <c r="J101" s="46"/>
      <c r="K101" s="86"/>
    </row>
    <row r="102" ht="15.75" customHeight="1">
      <c r="H102" s="46"/>
      <c r="I102" s="86"/>
      <c r="J102" s="46"/>
      <c r="K102" s="86"/>
    </row>
    <row r="103" ht="15.75" customHeight="1">
      <c r="H103" s="46"/>
      <c r="I103" s="86"/>
      <c r="J103" s="46"/>
      <c r="K103" s="86"/>
    </row>
    <row r="104" ht="15.75" customHeight="1">
      <c r="H104" s="46"/>
      <c r="I104" s="86"/>
      <c r="J104" s="46"/>
      <c r="K104" s="86"/>
    </row>
    <row r="105" ht="15.75" customHeight="1">
      <c r="H105" s="46"/>
      <c r="I105" s="86"/>
      <c r="J105" s="46"/>
      <c r="K105" s="86"/>
    </row>
    <row r="106" ht="15.75" customHeight="1">
      <c r="H106" s="46"/>
      <c r="I106" s="86"/>
      <c r="J106" s="46"/>
      <c r="K106" s="86"/>
    </row>
    <row r="107" ht="15.75" customHeight="1">
      <c r="H107" s="46"/>
      <c r="I107" s="86"/>
      <c r="J107" s="46"/>
      <c r="K107" s="86"/>
    </row>
    <row r="108" ht="15.75" customHeight="1">
      <c r="H108" s="46"/>
      <c r="I108" s="86"/>
      <c r="J108" s="46"/>
      <c r="K108" s="86"/>
    </row>
    <row r="109" ht="15.75" customHeight="1">
      <c r="H109" s="46"/>
      <c r="I109" s="86"/>
      <c r="J109" s="46"/>
      <c r="K109" s="86"/>
    </row>
    <row r="110" ht="15.75" customHeight="1">
      <c r="H110" s="46"/>
      <c r="I110" s="86"/>
      <c r="J110" s="46"/>
      <c r="K110" s="86"/>
    </row>
    <row r="111" ht="15.75" customHeight="1">
      <c r="H111" s="46"/>
      <c r="I111" s="86"/>
      <c r="J111" s="46"/>
      <c r="K111" s="86"/>
    </row>
    <row r="112" ht="15.75" customHeight="1">
      <c r="H112" s="46"/>
      <c r="I112" s="86"/>
      <c r="J112" s="46"/>
      <c r="K112" s="86"/>
    </row>
    <row r="113" ht="15.75" customHeight="1">
      <c r="H113" s="46"/>
      <c r="I113" s="86"/>
      <c r="J113" s="46"/>
      <c r="K113" s="86"/>
    </row>
    <row r="114" ht="15.75" customHeight="1">
      <c r="H114" s="46"/>
      <c r="I114" s="86"/>
      <c r="J114" s="46"/>
      <c r="K114" s="86"/>
    </row>
    <row r="115" ht="15.75" customHeight="1">
      <c r="H115" s="46"/>
      <c r="I115" s="86"/>
      <c r="J115" s="46"/>
      <c r="K115" s="86"/>
    </row>
    <row r="116" ht="15.75" customHeight="1">
      <c r="H116" s="46"/>
      <c r="I116" s="86"/>
      <c r="J116" s="46"/>
      <c r="K116" s="86"/>
    </row>
    <row r="117" ht="15.75" customHeight="1">
      <c r="H117" s="46"/>
      <c r="I117" s="86"/>
      <c r="J117" s="46"/>
      <c r="K117" s="86"/>
    </row>
    <row r="118" ht="15.75" customHeight="1">
      <c r="H118" s="46"/>
      <c r="I118" s="86"/>
      <c r="J118" s="46"/>
      <c r="K118" s="86"/>
    </row>
    <row r="119" ht="15.75" customHeight="1">
      <c r="H119" s="46"/>
      <c r="I119" s="86"/>
      <c r="J119" s="46"/>
      <c r="K119" s="86"/>
    </row>
    <row r="120" ht="15.75" customHeight="1">
      <c r="H120" s="46"/>
      <c r="I120" s="86"/>
      <c r="J120" s="46"/>
      <c r="K120" s="86"/>
    </row>
    <row r="121" ht="15.75" customHeight="1">
      <c r="H121" s="46"/>
      <c r="I121" s="86"/>
      <c r="J121" s="46"/>
      <c r="K121" s="86"/>
    </row>
    <row r="122" ht="15.75" customHeight="1">
      <c r="H122" s="46"/>
      <c r="I122" s="86"/>
      <c r="J122" s="46"/>
      <c r="K122" s="86"/>
    </row>
    <row r="123" ht="15.75" customHeight="1">
      <c r="H123" s="46"/>
      <c r="I123" s="86"/>
      <c r="J123" s="46"/>
      <c r="K123" s="86"/>
    </row>
    <row r="124" ht="15.75" customHeight="1">
      <c r="H124" s="46"/>
      <c r="I124" s="86"/>
      <c r="J124" s="46"/>
      <c r="K124" s="86"/>
    </row>
    <row r="125" ht="15.75" customHeight="1">
      <c r="H125" s="46"/>
      <c r="I125" s="86"/>
      <c r="J125" s="46"/>
      <c r="K125" s="86"/>
    </row>
    <row r="126" ht="15.75" customHeight="1">
      <c r="H126" s="46"/>
      <c r="I126" s="86"/>
      <c r="J126" s="46"/>
      <c r="K126" s="86"/>
    </row>
    <row r="127" ht="15.75" customHeight="1">
      <c r="H127" s="46"/>
      <c r="I127" s="86"/>
      <c r="J127" s="46"/>
      <c r="K127" s="86"/>
    </row>
    <row r="128" ht="15.75" customHeight="1">
      <c r="H128" s="46"/>
      <c r="I128" s="86"/>
      <c r="J128" s="46"/>
      <c r="K128" s="86"/>
    </row>
    <row r="129" ht="15.75" customHeight="1">
      <c r="H129" s="46"/>
      <c r="I129" s="86"/>
      <c r="J129" s="46"/>
      <c r="K129" s="86"/>
    </row>
    <row r="130" ht="15.75" customHeight="1">
      <c r="H130" s="46"/>
      <c r="I130" s="86"/>
      <c r="J130" s="46"/>
      <c r="K130" s="86"/>
    </row>
    <row r="131" ht="15.75" customHeight="1">
      <c r="H131" s="46"/>
      <c r="I131" s="86"/>
      <c r="J131" s="46"/>
      <c r="K131" s="86"/>
    </row>
    <row r="132" ht="15.75" customHeight="1">
      <c r="H132" s="46"/>
      <c r="I132" s="86"/>
      <c r="J132" s="46"/>
      <c r="K132" s="86"/>
    </row>
    <row r="133" ht="15.75" customHeight="1">
      <c r="H133" s="46"/>
      <c r="I133" s="86"/>
      <c r="J133" s="46"/>
      <c r="K133" s="86"/>
    </row>
    <row r="134" ht="15.75" customHeight="1">
      <c r="H134" s="46"/>
      <c r="I134" s="86"/>
      <c r="J134" s="46"/>
      <c r="K134" s="86"/>
    </row>
    <row r="135" ht="15.75" customHeight="1">
      <c r="H135" s="46"/>
      <c r="I135" s="86"/>
      <c r="J135" s="46"/>
      <c r="K135" s="86"/>
    </row>
    <row r="136" ht="15.75" customHeight="1">
      <c r="H136" s="46"/>
      <c r="I136" s="86"/>
      <c r="J136" s="46"/>
      <c r="K136" s="86"/>
    </row>
    <row r="137" ht="15.75" customHeight="1">
      <c r="H137" s="46"/>
      <c r="I137" s="86"/>
      <c r="J137" s="46"/>
      <c r="K137" s="86"/>
    </row>
    <row r="138" ht="15.75" customHeight="1">
      <c r="H138" s="46"/>
      <c r="I138" s="86"/>
      <c r="J138" s="46"/>
      <c r="K138" s="86"/>
    </row>
    <row r="139" ht="15.75" customHeight="1">
      <c r="H139" s="46"/>
      <c r="I139" s="86"/>
      <c r="J139" s="46"/>
      <c r="K139" s="86"/>
    </row>
    <row r="140" ht="15.75" customHeight="1">
      <c r="H140" s="46"/>
      <c r="I140" s="86"/>
      <c r="J140" s="46"/>
      <c r="K140" s="86"/>
    </row>
    <row r="141" ht="15.75" customHeight="1">
      <c r="H141" s="46"/>
      <c r="I141" s="86"/>
      <c r="J141" s="46"/>
      <c r="K141" s="86"/>
    </row>
    <row r="142" ht="15.75" customHeight="1">
      <c r="H142" s="46"/>
      <c r="I142" s="86"/>
      <c r="J142" s="46"/>
      <c r="K142" s="86"/>
    </row>
    <row r="143" ht="15.75" customHeight="1">
      <c r="H143" s="46"/>
      <c r="I143" s="86"/>
      <c r="J143" s="46"/>
      <c r="K143" s="86"/>
    </row>
    <row r="144" ht="15.75" customHeight="1">
      <c r="H144" s="46"/>
      <c r="I144" s="86"/>
      <c r="J144" s="46"/>
      <c r="K144" s="86"/>
    </row>
    <row r="145" ht="15.75" customHeight="1">
      <c r="H145" s="46"/>
      <c r="I145" s="86"/>
      <c r="J145" s="46"/>
      <c r="K145" s="86"/>
    </row>
    <row r="146" ht="15.75" customHeight="1">
      <c r="H146" s="46"/>
      <c r="I146" s="86"/>
      <c r="J146" s="46"/>
      <c r="K146" s="86"/>
    </row>
    <row r="147" ht="15.75" customHeight="1">
      <c r="H147" s="46"/>
      <c r="I147" s="86"/>
      <c r="J147" s="46"/>
      <c r="K147" s="86"/>
    </row>
    <row r="148" ht="15.75" customHeight="1">
      <c r="H148" s="46"/>
      <c r="I148" s="86"/>
      <c r="J148" s="46"/>
      <c r="K148" s="86"/>
    </row>
    <row r="149" ht="15.75" customHeight="1">
      <c r="H149" s="46"/>
      <c r="I149" s="86"/>
      <c r="J149" s="46"/>
      <c r="K149" s="86"/>
    </row>
    <row r="150" ht="15.75" customHeight="1">
      <c r="H150" s="46"/>
      <c r="I150" s="86"/>
      <c r="J150" s="46"/>
      <c r="K150" s="86"/>
    </row>
    <row r="151" ht="15.75" customHeight="1">
      <c r="H151" s="46"/>
      <c r="I151" s="86"/>
      <c r="J151" s="46"/>
      <c r="K151" s="86"/>
    </row>
    <row r="152" ht="15.75" customHeight="1">
      <c r="H152" s="46"/>
      <c r="I152" s="86"/>
      <c r="J152" s="46"/>
      <c r="K152" s="86"/>
    </row>
    <row r="153" ht="15.75" customHeight="1">
      <c r="H153" s="46"/>
      <c r="I153" s="86"/>
      <c r="J153" s="46"/>
      <c r="K153" s="86"/>
    </row>
    <row r="154" ht="15.75" customHeight="1">
      <c r="H154" s="46"/>
      <c r="I154" s="86"/>
      <c r="J154" s="46"/>
      <c r="K154" s="86"/>
    </row>
    <row r="155" ht="15.75" customHeight="1">
      <c r="H155" s="46"/>
      <c r="I155" s="86"/>
      <c r="J155" s="46"/>
      <c r="K155" s="86"/>
    </row>
    <row r="156" ht="15.75" customHeight="1">
      <c r="H156" s="46"/>
      <c r="I156" s="86"/>
      <c r="J156" s="46"/>
      <c r="K156" s="86"/>
    </row>
    <row r="157" ht="15.75" customHeight="1">
      <c r="H157" s="46"/>
      <c r="I157" s="86"/>
      <c r="J157" s="46"/>
      <c r="K157" s="86"/>
    </row>
    <row r="158" ht="15.75" customHeight="1">
      <c r="H158" s="46"/>
      <c r="I158" s="86"/>
      <c r="J158" s="46"/>
      <c r="K158" s="86"/>
    </row>
    <row r="159" ht="15.75" customHeight="1">
      <c r="H159" s="46"/>
      <c r="I159" s="86"/>
      <c r="J159" s="46"/>
      <c r="K159" s="86"/>
    </row>
    <row r="160" ht="15.75" customHeight="1">
      <c r="H160" s="46"/>
      <c r="I160" s="86"/>
      <c r="J160" s="46"/>
      <c r="K160" s="86"/>
    </row>
    <row r="161" ht="15.75" customHeight="1">
      <c r="H161" s="46"/>
      <c r="I161" s="86"/>
      <c r="J161" s="46"/>
      <c r="K161" s="86"/>
    </row>
    <row r="162" ht="15.75" customHeight="1">
      <c r="H162" s="46"/>
      <c r="I162" s="86"/>
      <c r="J162" s="46"/>
      <c r="K162" s="86"/>
    </row>
    <row r="163" ht="15.75" customHeight="1">
      <c r="H163" s="46"/>
      <c r="I163" s="86"/>
      <c r="J163" s="46"/>
      <c r="K163" s="86"/>
    </row>
    <row r="164" ht="15.75" customHeight="1">
      <c r="H164" s="46"/>
      <c r="I164" s="86"/>
      <c r="J164" s="46"/>
      <c r="K164" s="86"/>
    </row>
    <row r="165" ht="15.75" customHeight="1">
      <c r="H165" s="46"/>
      <c r="I165" s="86"/>
      <c r="J165" s="46"/>
      <c r="K165" s="86"/>
    </row>
    <row r="166" ht="15.75" customHeight="1">
      <c r="H166" s="46"/>
      <c r="I166" s="86"/>
      <c r="J166" s="46"/>
      <c r="K166" s="86"/>
    </row>
    <row r="167" ht="15.75" customHeight="1">
      <c r="H167" s="46"/>
      <c r="I167" s="86"/>
      <c r="J167" s="46"/>
      <c r="K167" s="86"/>
    </row>
    <row r="168" ht="15.75" customHeight="1">
      <c r="H168" s="46"/>
      <c r="I168" s="86"/>
      <c r="J168" s="46"/>
      <c r="K168" s="86"/>
    </row>
    <row r="169" ht="15.75" customHeight="1">
      <c r="H169" s="46"/>
      <c r="I169" s="86"/>
      <c r="J169" s="46"/>
      <c r="K169" s="86"/>
    </row>
    <row r="170" ht="15.75" customHeight="1">
      <c r="H170" s="46"/>
      <c r="I170" s="86"/>
      <c r="J170" s="46"/>
      <c r="K170" s="86"/>
    </row>
    <row r="171" ht="15.75" customHeight="1">
      <c r="H171" s="46"/>
      <c r="I171" s="86"/>
      <c r="J171" s="46"/>
      <c r="K171" s="86"/>
    </row>
    <row r="172" ht="15.75" customHeight="1">
      <c r="H172" s="46"/>
      <c r="I172" s="86"/>
      <c r="J172" s="46"/>
      <c r="K172" s="86"/>
    </row>
    <row r="173" ht="15.75" customHeight="1">
      <c r="H173" s="46"/>
      <c r="I173" s="86"/>
      <c r="J173" s="46"/>
      <c r="K173" s="86"/>
    </row>
    <row r="174" ht="15.75" customHeight="1">
      <c r="H174" s="46"/>
      <c r="I174" s="86"/>
      <c r="J174" s="46"/>
      <c r="K174" s="86"/>
    </row>
    <row r="175" ht="15.75" customHeight="1">
      <c r="H175" s="46"/>
      <c r="I175" s="86"/>
      <c r="J175" s="46"/>
      <c r="K175" s="86"/>
    </row>
    <row r="176" ht="15.75" customHeight="1">
      <c r="H176" s="46"/>
      <c r="I176" s="86"/>
      <c r="J176" s="46"/>
      <c r="K176" s="86"/>
    </row>
    <row r="177" ht="15.75" customHeight="1">
      <c r="H177" s="46"/>
      <c r="I177" s="86"/>
      <c r="J177" s="46"/>
      <c r="K177" s="86"/>
    </row>
    <row r="178" ht="15.75" customHeight="1">
      <c r="H178" s="46"/>
      <c r="I178" s="86"/>
      <c r="J178" s="46"/>
      <c r="K178" s="86"/>
    </row>
    <row r="179" ht="15.75" customHeight="1">
      <c r="H179" s="46"/>
      <c r="I179" s="86"/>
      <c r="J179" s="46"/>
      <c r="K179" s="86"/>
    </row>
    <row r="180" ht="15.75" customHeight="1">
      <c r="H180" s="46"/>
      <c r="I180" s="86"/>
      <c r="J180" s="46"/>
      <c r="K180" s="86"/>
    </row>
    <row r="181" ht="15.75" customHeight="1">
      <c r="H181" s="46"/>
      <c r="I181" s="86"/>
      <c r="J181" s="46"/>
      <c r="K181" s="86"/>
    </row>
    <row r="182" ht="15.75" customHeight="1">
      <c r="H182" s="46"/>
      <c r="I182" s="86"/>
      <c r="J182" s="46"/>
      <c r="K182" s="86"/>
    </row>
    <row r="183" ht="15.75" customHeight="1">
      <c r="H183" s="46"/>
      <c r="I183" s="86"/>
      <c r="J183" s="46"/>
      <c r="K183" s="86"/>
    </row>
    <row r="184" ht="15.75" customHeight="1">
      <c r="H184" s="46"/>
      <c r="I184" s="86"/>
      <c r="J184" s="46"/>
      <c r="K184" s="86"/>
    </row>
    <row r="185" ht="15.75" customHeight="1">
      <c r="H185" s="46"/>
      <c r="I185" s="86"/>
      <c r="J185" s="46"/>
      <c r="K185" s="86"/>
    </row>
    <row r="186" ht="15.75" customHeight="1">
      <c r="H186" s="46"/>
      <c r="I186" s="86"/>
      <c r="J186" s="46"/>
      <c r="K186" s="86"/>
    </row>
    <row r="187" ht="15.75" customHeight="1">
      <c r="H187" s="46"/>
      <c r="I187" s="86"/>
      <c r="J187" s="46"/>
      <c r="K187" s="86"/>
    </row>
    <row r="188" ht="15.75" customHeight="1">
      <c r="H188" s="46"/>
      <c r="I188" s="86"/>
      <c r="J188" s="46"/>
      <c r="K188" s="86"/>
    </row>
    <row r="189" ht="15.75" customHeight="1">
      <c r="H189" s="46"/>
      <c r="I189" s="86"/>
      <c r="J189" s="46"/>
      <c r="K189" s="86"/>
    </row>
    <row r="190" ht="15.75" customHeight="1">
      <c r="H190" s="46"/>
      <c r="I190" s="86"/>
      <c r="J190" s="46"/>
      <c r="K190" s="86"/>
    </row>
    <row r="191" ht="15.75" customHeight="1">
      <c r="H191" s="46"/>
      <c r="I191" s="86"/>
      <c r="J191" s="46"/>
      <c r="K191" s="86"/>
    </row>
    <row r="192" ht="15.75" customHeight="1">
      <c r="H192" s="46"/>
      <c r="I192" s="86"/>
      <c r="J192" s="46"/>
      <c r="K192" s="86"/>
    </row>
    <row r="193" ht="15.75" customHeight="1">
      <c r="H193" s="46"/>
      <c r="I193" s="86"/>
      <c r="J193" s="46"/>
      <c r="K193" s="86"/>
    </row>
    <row r="194" ht="15.75" customHeight="1">
      <c r="H194" s="46"/>
      <c r="I194" s="86"/>
      <c r="J194" s="46"/>
      <c r="K194" s="86"/>
    </row>
    <row r="195" ht="15.75" customHeight="1">
      <c r="H195" s="46"/>
      <c r="I195" s="86"/>
      <c r="J195" s="46"/>
      <c r="K195" s="86"/>
    </row>
    <row r="196" ht="15.75" customHeight="1">
      <c r="H196" s="46"/>
      <c r="I196" s="86"/>
      <c r="J196" s="46"/>
      <c r="K196" s="86"/>
    </row>
    <row r="197" ht="15.75" customHeight="1">
      <c r="H197" s="46"/>
      <c r="I197" s="86"/>
      <c r="J197" s="46"/>
      <c r="K197" s="86"/>
    </row>
    <row r="198" ht="15.75" customHeight="1">
      <c r="H198" s="46"/>
      <c r="I198" s="86"/>
      <c r="J198" s="46"/>
      <c r="K198" s="86"/>
    </row>
    <row r="199" ht="15.75" customHeight="1">
      <c r="H199" s="46"/>
      <c r="I199" s="86"/>
      <c r="J199" s="46"/>
      <c r="K199" s="86"/>
    </row>
    <row r="200" ht="15.75" customHeight="1">
      <c r="H200" s="46"/>
      <c r="I200" s="86"/>
      <c r="J200" s="46"/>
      <c r="K200" s="86"/>
    </row>
    <row r="201" ht="15.75" customHeight="1">
      <c r="H201" s="46"/>
      <c r="I201" s="86"/>
      <c r="J201" s="46"/>
      <c r="K201" s="86"/>
    </row>
    <row r="202" ht="15.75" customHeight="1">
      <c r="H202" s="46"/>
      <c r="I202" s="86"/>
      <c r="J202" s="46"/>
      <c r="K202" s="86"/>
    </row>
    <row r="203" ht="15.75" customHeight="1">
      <c r="H203" s="46"/>
      <c r="I203" s="86"/>
      <c r="J203" s="46"/>
      <c r="K203" s="86"/>
    </row>
    <row r="204" ht="15.75" customHeight="1">
      <c r="H204" s="46"/>
      <c r="I204" s="86"/>
      <c r="J204" s="46"/>
      <c r="K204" s="86"/>
    </row>
    <row r="205" ht="15.75" customHeight="1">
      <c r="H205" s="46"/>
      <c r="I205" s="86"/>
      <c r="J205" s="46"/>
      <c r="K205" s="86"/>
    </row>
    <row r="206" ht="15.75" customHeight="1">
      <c r="H206" s="46"/>
      <c r="I206" s="86"/>
      <c r="J206" s="46"/>
      <c r="K206" s="86"/>
    </row>
    <row r="207" ht="15.75" customHeight="1">
      <c r="H207" s="46"/>
      <c r="I207" s="86"/>
      <c r="J207" s="46"/>
      <c r="K207" s="86"/>
    </row>
    <row r="208" ht="15.75" customHeight="1">
      <c r="H208" s="46"/>
      <c r="I208" s="86"/>
      <c r="J208" s="46"/>
      <c r="K208" s="86"/>
    </row>
    <row r="209" ht="15.75" customHeight="1">
      <c r="H209" s="46"/>
      <c r="I209" s="86"/>
      <c r="J209" s="46"/>
      <c r="K209" s="86"/>
    </row>
    <row r="210" ht="15.75" customHeight="1">
      <c r="H210" s="46"/>
      <c r="I210" s="86"/>
      <c r="J210" s="46"/>
      <c r="K210" s="86"/>
    </row>
    <row r="211" ht="15.75" customHeight="1">
      <c r="H211" s="46"/>
      <c r="I211" s="86"/>
      <c r="J211" s="46"/>
      <c r="K211" s="86"/>
    </row>
    <row r="212" ht="15.75" customHeight="1">
      <c r="H212" s="46"/>
      <c r="I212" s="86"/>
      <c r="J212" s="46"/>
      <c r="K212" s="86"/>
    </row>
    <row r="213" ht="15.75" customHeight="1">
      <c r="H213" s="46"/>
      <c r="I213" s="86"/>
      <c r="J213" s="46"/>
      <c r="K213" s="86"/>
    </row>
    <row r="214" ht="15.75" customHeight="1">
      <c r="H214" s="46"/>
      <c r="I214" s="86"/>
      <c r="J214" s="46"/>
      <c r="K214" s="86"/>
    </row>
    <row r="215" ht="15.75" customHeight="1">
      <c r="H215" s="46"/>
      <c r="I215" s="86"/>
      <c r="J215" s="46"/>
      <c r="K215" s="86"/>
    </row>
    <row r="216" ht="15.75" customHeight="1">
      <c r="H216" s="46"/>
      <c r="I216" s="86"/>
      <c r="J216" s="46"/>
      <c r="K216" s="86"/>
    </row>
    <row r="217" ht="15.75" customHeight="1">
      <c r="H217" s="46"/>
      <c r="I217" s="86"/>
      <c r="J217" s="46"/>
      <c r="K217" s="86"/>
    </row>
    <row r="218" ht="15.75" customHeight="1">
      <c r="H218" s="46"/>
      <c r="I218" s="86"/>
      <c r="J218" s="46"/>
      <c r="K218" s="86"/>
    </row>
    <row r="219" ht="15.75" customHeight="1">
      <c r="H219" s="46"/>
      <c r="I219" s="86"/>
      <c r="J219" s="46"/>
      <c r="K219" s="86"/>
    </row>
    <row r="220" ht="15.75" customHeight="1">
      <c r="H220" s="46"/>
      <c r="I220" s="86"/>
      <c r="J220" s="46"/>
      <c r="K220" s="86"/>
    </row>
    <row r="221" ht="15.75" customHeight="1">
      <c r="H221" s="46"/>
      <c r="I221" s="86"/>
      <c r="J221" s="46"/>
      <c r="K221" s="86"/>
    </row>
    <row r="222" ht="15.75" customHeight="1">
      <c r="H222" s="46"/>
      <c r="I222" s="86"/>
      <c r="J222" s="46"/>
      <c r="K222" s="86"/>
    </row>
    <row r="223" ht="15.75" customHeight="1">
      <c r="H223" s="46"/>
      <c r="I223" s="86"/>
      <c r="J223" s="46"/>
      <c r="K223" s="86"/>
    </row>
    <row r="224" ht="15.75" customHeight="1">
      <c r="H224" s="46"/>
      <c r="I224" s="86"/>
      <c r="J224" s="46"/>
      <c r="K224" s="86"/>
    </row>
    <row r="225" ht="15.75" customHeight="1">
      <c r="H225" s="46"/>
      <c r="I225" s="86"/>
      <c r="J225" s="46"/>
      <c r="K225" s="86"/>
    </row>
    <row r="226" ht="15.75" customHeight="1">
      <c r="H226" s="46"/>
      <c r="I226" s="86"/>
      <c r="J226" s="46"/>
      <c r="K226" s="86"/>
    </row>
    <row r="227" ht="15.75" customHeight="1">
      <c r="H227" s="46"/>
      <c r="I227" s="86"/>
      <c r="J227" s="46"/>
      <c r="K227" s="86"/>
    </row>
    <row r="228" ht="15.75" customHeight="1">
      <c r="H228" s="46"/>
      <c r="I228" s="86"/>
      <c r="J228" s="46"/>
      <c r="K228" s="86"/>
    </row>
    <row r="229" ht="15.75" customHeight="1">
      <c r="H229" s="46"/>
      <c r="I229" s="86"/>
      <c r="J229" s="46"/>
      <c r="K229" s="86"/>
    </row>
    <row r="230" ht="15.75" customHeight="1">
      <c r="H230" s="46"/>
      <c r="I230" s="86"/>
      <c r="J230" s="46"/>
      <c r="K230" s="86"/>
    </row>
    <row r="231" ht="15.75" customHeight="1">
      <c r="H231" s="46"/>
      <c r="I231" s="86"/>
      <c r="J231" s="46"/>
      <c r="K231" s="86"/>
    </row>
    <row r="232" ht="15.75" customHeight="1">
      <c r="H232" s="46"/>
      <c r="I232" s="86"/>
      <c r="J232" s="46"/>
      <c r="K232" s="86"/>
    </row>
    <row r="233" ht="15.75" customHeight="1">
      <c r="H233" s="46"/>
      <c r="I233" s="86"/>
      <c r="J233" s="46"/>
      <c r="K233" s="86"/>
    </row>
    <row r="234" ht="15.75" customHeight="1">
      <c r="H234" s="46"/>
      <c r="I234" s="86"/>
      <c r="J234" s="46"/>
      <c r="K234" s="86"/>
    </row>
    <row r="235" ht="15.75" customHeight="1">
      <c r="H235" s="46"/>
      <c r="I235" s="86"/>
      <c r="J235" s="46"/>
      <c r="K235" s="86"/>
    </row>
    <row r="236" ht="15.75" customHeight="1">
      <c r="H236" s="46"/>
      <c r="I236" s="86"/>
      <c r="J236" s="46"/>
      <c r="K236" s="86"/>
    </row>
    <row r="237" ht="15.75" customHeight="1">
      <c r="H237" s="46"/>
      <c r="I237" s="86"/>
      <c r="J237" s="46"/>
      <c r="K237" s="86"/>
    </row>
    <row r="238" ht="15.75" customHeight="1">
      <c r="H238" s="46"/>
      <c r="I238" s="86"/>
      <c r="J238" s="46"/>
      <c r="K238" s="86"/>
    </row>
    <row r="239" ht="15.75" customHeight="1">
      <c r="H239" s="46"/>
      <c r="I239" s="86"/>
      <c r="J239" s="46"/>
      <c r="K239" s="86"/>
    </row>
    <row r="240" ht="15.75" customHeight="1">
      <c r="H240" s="46"/>
      <c r="I240" s="86"/>
      <c r="J240" s="46"/>
      <c r="K240" s="86"/>
    </row>
    <row r="241" ht="15.75" customHeight="1">
      <c r="H241" s="46"/>
      <c r="I241" s="86"/>
      <c r="J241" s="46"/>
      <c r="K241" s="86"/>
    </row>
    <row r="242" ht="15.75" customHeight="1">
      <c r="H242" s="46"/>
      <c r="I242" s="86"/>
      <c r="J242" s="46"/>
      <c r="K242" s="86"/>
    </row>
    <row r="243" ht="15.75" customHeight="1">
      <c r="H243" s="46"/>
      <c r="I243" s="86"/>
      <c r="J243" s="46"/>
      <c r="K243" s="86"/>
    </row>
    <row r="244" ht="15.75" customHeight="1">
      <c r="H244" s="46"/>
      <c r="I244" s="86"/>
      <c r="J244" s="46"/>
      <c r="K244" s="86"/>
    </row>
    <row r="245" ht="15.75" customHeight="1">
      <c r="H245" s="46"/>
      <c r="I245" s="86"/>
      <c r="J245" s="46"/>
      <c r="K245" s="86"/>
    </row>
    <row r="246" ht="15.75" customHeight="1">
      <c r="H246" s="46"/>
      <c r="I246" s="86"/>
      <c r="J246" s="46"/>
      <c r="K246" s="86"/>
    </row>
    <row r="247" ht="15.75" customHeight="1">
      <c r="H247" s="46"/>
      <c r="I247" s="86"/>
      <c r="J247" s="46"/>
      <c r="K247" s="86"/>
    </row>
    <row r="248" ht="15.75" customHeight="1">
      <c r="H248" s="46"/>
      <c r="I248" s="86"/>
      <c r="J248" s="46"/>
      <c r="K248" s="86"/>
    </row>
    <row r="249" ht="15.75" customHeight="1">
      <c r="H249" s="46"/>
      <c r="I249" s="86"/>
      <c r="J249" s="46"/>
      <c r="K249" s="86"/>
    </row>
    <row r="250" ht="15.75" customHeight="1">
      <c r="H250" s="46"/>
      <c r="I250" s="86"/>
      <c r="J250" s="46"/>
      <c r="K250" s="86"/>
    </row>
    <row r="251" ht="15.75" customHeight="1">
      <c r="H251" s="46"/>
      <c r="I251" s="86"/>
      <c r="J251" s="46"/>
      <c r="K251" s="86"/>
    </row>
    <row r="252" ht="15.75" customHeight="1">
      <c r="H252" s="46"/>
      <c r="I252" s="86"/>
      <c r="J252" s="46"/>
      <c r="K252" s="86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1:I1000">
    <cfRule type="cellIs" dxfId="6" priority="1" operator="greaterThanOrEqual">
      <formula>0</formula>
    </cfRule>
  </conditionalFormatting>
  <conditionalFormatting sqref="H1:I1000">
    <cfRule type="cellIs" dxfId="7" priority="2" operator="lessThan">
      <formula>0</formula>
    </cfRule>
  </conditionalFormatting>
  <conditionalFormatting sqref="J1:J1000">
    <cfRule type="cellIs" dxfId="6" priority="3" operator="greaterThanOrEqual">
      <formula>0</formula>
    </cfRule>
  </conditionalFormatting>
  <conditionalFormatting sqref="J1:J1000">
    <cfRule type="cellIs" dxfId="7" priority="4" operator="lessThan">
      <formula>0</formula>
    </cfRule>
  </conditionalFormatting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3" width="12.63"/>
    <col customWidth="1" min="4" max="4" width="13.75"/>
    <col customWidth="1" min="5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>
      <c r="O28" s="52" t="s">
        <v>88</v>
      </c>
    </row>
    <row r="29" ht="15.75" customHeight="1">
      <c r="O29" s="2" t="s">
        <v>90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10" max="10" width="20.25"/>
    <col customWidth="1" min="11" max="11" width="22.38"/>
  </cols>
  <sheetData>
    <row r="1" ht="15.75" customHeight="1">
      <c r="A1" s="4" t="s">
        <v>130</v>
      </c>
      <c r="B1" s="5" t="s">
        <v>131</v>
      </c>
      <c r="C1" s="6" t="s">
        <v>20</v>
      </c>
      <c r="D1" s="5" t="s">
        <v>21</v>
      </c>
      <c r="E1" s="5" t="s">
        <v>22</v>
      </c>
      <c r="F1" s="5" t="s">
        <v>23</v>
      </c>
      <c r="G1" s="6" t="s">
        <v>24</v>
      </c>
      <c r="H1" s="7" t="s">
        <v>26</v>
      </c>
      <c r="I1" s="9" t="s">
        <v>27</v>
      </c>
      <c r="J1" s="11" t="s">
        <v>133</v>
      </c>
      <c r="K1" s="11" t="s">
        <v>32</v>
      </c>
    </row>
    <row r="2" ht="15.75" customHeight="1">
      <c r="A2" s="12" t="s">
        <v>14</v>
      </c>
      <c r="B2" s="14" t="s">
        <v>134</v>
      </c>
      <c r="C2" s="12">
        <v>0.0</v>
      </c>
      <c r="D2" s="18" t="str">
        <f>COUNTIFS('Transaction History'!L:L,$A2,
          #REF!,$B2,
          'Transaction History'!B:B,"Bet Stake")</f>
        <v>#VALUE!</v>
      </c>
      <c r="E2" s="12" t="str">
        <f>COUNTIFS('Transaction History'!L:L,$A2,
          #REF!,$B2,
          #REF!,"Win")</f>
        <v>#VALUE!</v>
      </c>
      <c r="F2" s="14" t="str">
        <f>COUNTIFS('Transaction History'!L:L,$A2,
          #REF!,$B2,
          #REF!,"Loss")</f>
        <v>#VALUE!</v>
      </c>
      <c r="G2" s="14" t="str">
        <f t="shared" ref="G2:G22" si="1">E2+F2</f>
        <v>#VALUE!</v>
      </c>
      <c r="H2" s="21" t="str">
        <f t="shared" ref="H2:H22" si="2">E2/G2</f>
        <v>#VALUE!</v>
      </c>
      <c r="I2" s="22" t="str">
        <f>SUMIFS(#REF!,
        'Transaction History'!L:L,$A2,
        #REF!,$B2)
-
SUMIFS(#REF!,
        'Transaction History'!L:L,$A2,
        #REF!,$B2)</f>
        <v>#N/A</v>
      </c>
      <c r="J2" s="53" t="str">
        <f t="shared" ref="J2:J22" si="3">SUMIFS($E$2:E2,$A$2:A2,A2)/SUMIFS($G$2:G2,$A$2:A2,A2)</f>
        <v>#VALUE!</v>
      </c>
      <c r="K2" s="24" t="str">
        <f t="shared" ref="K2:K22" si="4">SUMIFS($I$2:I2,$A$2:A2,A2)</f>
        <v>#N/A</v>
      </c>
    </row>
    <row r="3" ht="15.75" customHeight="1">
      <c r="A3" s="25" t="s">
        <v>16</v>
      </c>
      <c r="B3" s="27" t="s">
        <v>134</v>
      </c>
      <c r="C3" s="25">
        <v>0.0</v>
      </c>
      <c r="D3" s="28" t="str">
        <f>COUNTIFS('Transaction History'!L:L,$A3,
          #REF!,$B3,
          'Transaction History'!B:B,"Bet Stake")</f>
        <v>#VALUE!</v>
      </c>
      <c r="E3" s="25" t="str">
        <f>COUNTIFS('Transaction History'!L:L,$A3,
          #REF!,$B3,
          #REF!,"Win")</f>
        <v>#VALUE!</v>
      </c>
      <c r="F3" s="27" t="str">
        <f>COUNTIFS('Transaction History'!L:L,$A3,
          #REF!,$B3,
          #REF!,"Loss")</f>
        <v>#VALUE!</v>
      </c>
      <c r="G3" s="27" t="str">
        <f t="shared" si="1"/>
        <v>#VALUE!</v>
      </c>
      <c r="H3" s="32" t="str">
        <f t="shared" si="2"/>
        <v>#VALUE!</v>
      </c>
      <c r="I3" s="33" t="str">
        <f>SUMIFS(#REF!,
        'Transaction History'!L:L,$A3,
        #REF!,$B3)
-
SUMIFS(#REF!,
        'Transaction History'!L:L,$A3,
        #REF!,$B3)</f>
        <v>#N/A</v>
      </c>
      <c r="J3" s="53" t="str">
        <f t="shared" si="3"/>
        <v>#VALUE!</v>
      </c>
      <c r="K3" s="24" t="str">
        <f t="shared" si="4"/>
        <v>#N/A</v>
      </c>
    </row>
    <row r="4" ht="15.75" customHeight="1">
      <c r="A4" s="35" t="s">
        <v>15</v>
      </c>
      <c r="B4" s="36" t="s">
        <v>134</v>
      </c>
      <c r="C4" s="35">
        <v>0.0</v>
      </c>
      <c r="D4" s="37" t="str">
        <f>COUNTIFS('Transaction History'!L:L,$A4,
          #REF!,$B4,
          'Transaction History'!B:B,"Bet Stake")</f>
        <v>#VALUE!</v>
      </c>
      <c r="E4" s="35" t="str">
        <f>COUNTIFS('Transaction History'!L:L,$A4,
          #REF!,$B4,
          #REF!,"Win")</f>
        <v>#VALUE!</v>
      </c>
      <c r="F4" s="36" t="str">
        <f>COUNTIFS('Transaction History'!L:L,$A4,
          #REF!,$B4,
          #REF!,"Loss")</f>
        <v>#VALUE!</v>
      </c>
      <c r="G4" s="27" t="str">
        <f t="shared" si="1"/>
        <v>#VALUE!</v>
      </c>
      <c r="H4" s="39" t="str">
        <f t="shared" si="2"/>
        <v>#VALUE!</v>
      </c>
      <c r="I4" s="40" t="str">
        <f>SUMIFS(#REF!,
        'Transaction History'!L:L,$A4,
        #REF!,$B4)
-
SUMIFS(#REF!,
        'Transaction History'!L:L,$A4,
        #REF!,$B4)</f>
        <v>#N/A</v>
      </c>
      <c r="J4" s="53" t="str">
        <f t="shared" si="3"/>
        <v>#VALUE!</v>
      </c>
      <c r="K4" s="24" t="str">
        <f t="shared" si="4"/>
        <v>#N/A</v>
      </c>
    </row>
    <row r="5" ht="15.75" customHeight="1">
      <c r="A5" s="12" t="s">
        <v>16</v>
      </c>
      <c r="B5" s="12" t="s">
        <v>153</v>
      </c>
      <c r="C5" s="25">
        <v>1.0</v>
      </c>
      <c r="D5" s="12" t="str">
        <f>COUNTIFS('Transaction History'!L:L,$A5,
          #REF!,$B5,
          'Transaction History'!B:B,"Bet Stake")</f>
        <v>#VALUE!</v>
      </c>
      <c r="E5" s="12" t="str">
        <f>COUNTIFS('Transaction History'!L:L,$A5,
          #REF!,$B5,
          #REF!,"Win")</f>
        <v>#VALUE!</v>
      </c>
      <c r="F5" s="14" t="str">
        <f>COUNTIFS('Transaction History'!L:L,$A5,
          #REF!,$B5,
          #REF!,"Loss")</f>
        <v>#VALUE!</v>
      </c>
      <c r="G5" s="14" t="str">
        <f t="shared" si="1"/>
        <v>#VALUE!</v>
      </c>
      <c r="H5" s="21" t="str">
        <f t="shared" si="2"/>
        <v>#VALUE!</v>
      </c>
      <c r="I5" s="22" t="str">
        <f>SUMIFS(#REF!,
        'Transaction History'!L:L,$A5,
        #REF!,$B5)
-
SUMIFS(#REF!,
        'Transaction History'!L:L,$A5,
        #REF!,$B5)</f>
        <v>#N/A</v>
      </c>
      <c r="J5" s="53" t="str">
        <f t="shared" si="3"/>
        <v>#VALUE!</v>
      </c>
      <c r="K5" s="24" t="str">
        <f t="shared" si="4"/>
        <v>#N/A</v>
      </c>
    </row>
    <row r="6" ht="15.75" customHeight="1">
      <c r="A6" s="25" t="s">
        <v>14</v>
      </c>
      <c r="B6" s="25" t="s">
        <v>153</v>
      </c>
      <c r="C6" s="25">
        <v>1.0</v>
      </c>
      <c r="D6" s="25" t="str">
        <f>COUNTIFS('Transaction History'!L:L,$A6,
          #REF!,$B6,
          'Transaction History'!B:B,"Bet Stake")</f>
        <v>#VALUE!</v>
      </c>
      <c r="E6" s="25" t="str">
        <f>COUNTIFS('Transaction History'!L:L,$A6,
          #REF!,$B6,
          #REF!,"Win")</f>
        <v>#VALUE!</v>
      </c>
      <c r="F6" s="27" t="str">
        <f>COUNTIFS('Transaction History'!L:L,$A6,
          #REF!,$B6,
          #REF!,"Loss")</f>
        <v>#VALUE!</v>
      </c>
      <c r="G6" s="27" t="str">
        <f t="shared" si="1"/>
        <v>#VALUE!</v>
      </c>
      <c r="H6" s="32" t="str">
        <f t="shared" si="2"/>
        <v>#VALUE!</v>
      </c>
      <c r="I6" s="33" t="str">
        <f>SUMIFS(#REF!,
        'Transaction History'!L:L,$A6,
        #REF!,$B6)
-
SUMIFS(#REF!,
        'Transaction History'!L:L,$A6,
        #REF!,$B6)</f>
        <v>#N/A</v>
      </c>
      <c r="J6" s="53" t="str">
        <f t="shared" si="3"/>
        <v>#VALUE!</v>
      </c>
      <c r="K6" s="24" t="str">
        <f t="shared" si="4"/>
        <v>#N/A</v>
      </c>
    </row>
    <row r="7" ht="15.75" customHeight="1">
      <c r="A7" s="35" t="s">
        <v>15</v>
      </c>
      <c r="B7" s="35" t="s">
        <v>153</v>
      </c>
      <c r="C7" s="35">
        <v>1.0</v>
      </c>
      <c r="D7" s="35" t="str">
        <f>COUNTIFS('Transaction History'!L:L,$A7,
          #REF!,$B7,
          'Transaction History'!B:B,"Bet Stake")</f>
        <v>#VALUE!</v>
      </c>
      <c r="E7" s="35" t="str">
        <f>COUNTIFS('Transaction History'!L:L,$A7,
          #REF!,$B7,
          #REF!,"Win")</f>
        <v>#VALUE!</v>
      </c>
      <c r="F7" s="36" t="str">
        <f>COUNTIFS('Transaction History'!L:L,$A7,
          #REF!,$B7,
          #REF!,"Loss")</f>
        <v>#VALUE!</v>
      </c>
      <c r="G7" s="36" t="str">
        <f t="shared" si="1"/>
        <v>#VALUE!</v>
      </c>
      <c r="H7" s="39" t="str">
        <f t="shared" si="2"/>
        <v>#VALUE!</v>
      </c>
      <c r="I7" s="40" t="str">
        <f>SUMIFS(#REF!,
        'Transaction History'!L:L,$A7,
        #REF!,$B7)
-
SUMIFS(#REF!,
        'Transaction History'!L:L,$A7,
        #REF!,$B7)</f>
        <v>#N/A</v>
      </c>
      <c r="J7" s="53" t="str">
        <f t="shared" si="3"/>
        <v>#VALUE!</v>
      </c>
      <c r="K7" s="24" t="str">
        <f t="shared" si="4"/>
        <v>#N/A</v>
      </c>
    </row>
    <row r="8" ht="15.75" customHeight="1">
      <c r="A8" s="12" t="s">
        <v>14</v>
      </c>
      <c r="B8" s="12" t="s">
        <v>168</v>
      </c>
      <c r="C8" s="12">
        <v>2.0</v>
      </c>
      <c r="D8" s="12" t="str">
        <f>COUNTIFS('Transaction History'!L:L,$A8,
          #REF!,$B8,
          'Transaction History'!B:B,"Bet Stake")</f>
        <v>#VALUE!</v>
      </c>
      <c r="E8" s="12" t="str">
        <f>COUNTIFS('Transaction History'!L:L,$A8,
          #REF!,$B8,
          #REF!,"Win")</f>
        <v>#VALUE!</v>
      </c>
      <c r="F8" s="14" t="str">
        <f>COUNTIFS('Transaction History'!L:L,$A8,
          #REF!,$B8,
          #REF!,"Loss")</f>
        <v>#VALUE!</v>
      </c>
      <c r="G8" s="14" t="str">
        <f t="shared" si="1"/>
        <v>#VALUE!</v>
      </c>
      <c r="H8" s="21" t="str">
        <f t="shared" si="2"/>
        <v>#VALUE!</v>
      </c>
      <c r="I8" s="22" t="str">
        <f>SUMIFS(#REF!,
        'Transaction History'!L:L,$A8,
        #REF!,$B8)
-
SUMIFS(#REF!,
        'Transaction History'!L:L,$A8,
        #REF!,$B8)</f>
        <v>#N/A</v>
      </c>
      <c r="J8" s="53" t="str">
        <f t="shared" si="3"/>
        <v>#VALUE!</v>
      </c>
      <c r="K8" s="24" t="str">
        <f t="shared" si="4"/>
        <v>#N/A</v>
      </c>
    </row>
    <row r="9" ht="15.75" customHeight="1">
      <c r="A9" s="25" t="s">
        <v>16</v>
      </c>
      <c r="B9" s="25" t="s">
        <v>168</v>
      </c>
      <c r="C9" s="25">
        <v>2.0</v>
      </c>
      <c r="D9" s="25" t="str">
        <f>COUNTIFS('Transaction History'!L:L,$A9,
          #REF!,$B9,
          'Transaction History'!B:B,"Bet Stake")</f>
        <v>#VALUE!</v>
      </c>
      <c r="E9" s="25" t="str">
        <f>COUNTIFS('Transaction History'!L:L,$A9,
          #REF!,$B9,
          #REF!,"Win")</f>
        <v>#VALUE!</v>
      </c>
      <c r="F9" s="27" t="str">
        <f>COUNTIFS('Transaction History'!L:L,$A9,
          #REF!,$B9,
          #REF!,"Loss")</f>
        <v>#VALUE!</v>
      </c>
      <c r="G9" s="27" t="str">
        <f t="shared" si="1"/>
        <v>#VALUE!</v>
      </c>
      <c r="H9" s="32" t="str">
        <f t="shared" si="2"/>
        <v>#VALUE!</v>
      </c>
      <c r="I9" s="33" t="str">
        <f>SUMIFS(#REF!,
        'Transaction History'!L:L,$A9,
        #REF!,$B9)
-
SUMIFS(#REF!,
        'Transaction History'!L:L,$A9,
        #REF!,$B9)</f>
        <v>#N/A</v>
      </c>
      <c r="J9" s="53" t="str">
        <f t="shared" si="3"/>
        <v>#VALUE!</v>
      </c>
      <c r="K9" s="24" t="str">
        <f t="shared" si="4"/>
        <v>#N/A</v>
      </c>
    </row>
    <row r="10" ht="15.75" customHeight="1">
      <c r="A10" s="35" t="s">
        <v>15</v>
      </c>
      <c r="B10" s="35" t="s">
        <v>168</v>
      </c>
      <c r="C10" s="35">
        <v>2.0</v>
      </c>
      <c r="D10" s="35" t="str">
        <f>COUNTIFS('Transaction History'!L:L,$A10,
          #REF!,$B10,
          'Transaction History'!B:B,"Bet Stake")</f>
        <v>#VALUE!</v>
      </c>
      <c r="E10" s="35" t="str">
        <f>COUNTIFS('Transaction History'!L:L,$A10,
          #REF!,$B10,
          #REF!,"Win")</f>
        <v>#VALUE!</v>
      </c>
      <c r="F10" s="36" t="str">
        <f>COUNTIFS('Transaction History'!L:L,$A10,
          #REF!,$B10,
          #REF!,"Loss")</f>
        <v>#VALUE!</v>
      </c>
      <c r="G10" s="36" t="str">
        <f t="shared" si="1"/>
        <v>#VALUE!</v>
      </c>
      <c r="H10" s="39" t="str">
        <f t="shared" si="2"/>
        <v>#VALUE!</v>
      </c>
      <c r="I10" s="40" t="str">
        <f>SUMIFS(#REF!,
        'Transaction History'!L:L,$A10,
        #REF!,$B10)
-
SUMIFS(#REF!,
        'Transaction History'!L:L,$A10,
        #REF!,$B10)</f>
        <v>#N/A</v>
      </c>
      <c r="J10" s="53" t="str">
        <f t="shared" si="3"/>
        <v>#VALUE!</v>
      </c>
      <c r="K10" s="24" t="str">
        <f t="shared" si="4"/>
        <v>#N/A</v>
      </c>
    </row>
    <row r="11" ht="15.75" customHeight="1">
      <c r="A11" s="12" t="s">
        <v>14</v>
      </c>
      <c r="B11" s="12" t="s">
        <v>185</v>
      </c>
      <c r="C11" s="12">
        <v>3.0</v>
      </c>
      <c r="D11" s="12" t="str">
        <f>COUNTIFS('Transaction History'!L:L,$A11,
          #REF!,$B11,
          'Transaction History'!B:B,"Bet Stake")</f>
        <v>#VALUE!</v>
      </c>
      <c r="E11" s="12" t="str">
        <f>COUNTIFS('Transaction History'!L:L,$A11,
          #REF!,$B11,
          #REF!,"Win")</f>
        <v>#VALUE!</v>
      </c>
      <c r="F11" s="14" t="str">
        <f>COUNTIFS('Transaction History'!L:L,$A11,
          #REF!,$B11,
          #REF!,"Loss")</f>
        <v>#VALUE!</v>
      </c>
      <c r="G11" s="14" t="str">
        <f t="shared" si="1"/>
        <v>#VALUE!</v>
      </c>
      <c r="H11" s="21" t="str">
        <f t="shared" si="2"/>
        <v>#VALUE!</v>
      </c>
      <c r="I11" s="22" t="str">
        <f>SUMIFS(#REF!,
        'Transaction History'!L:L,$A11,
        #REF!,$B11)
-
SUMIFS(#REF!,
        'Transaction History'!L:L,$A11,
        #REF!,$B11)</f>
        <v>#N/A</v>
      </c>
      <c r="J11" s="53" t="str">
        <f t="shared" si="3"/>
        <v>#VALUE!</v>
      </c>
      <c r="K11" s="24" t="str">
        <f t="shared" si="4"/>
        <v>#N/A</v>
      </c>
    </row>
    <row r="12" ht="15.75" customHeight="1">
      <c r="A12" s="25" t="s">
        <v>16</v>
      </c>
      <c r="B12" s="25" t="s">
        <v>185</v>
      </c>
      <c r="C12" s="25">
        <v>3.0</v>
      </c>
      <c r="D12" s="25" t="str">
        <f>COUNTIFS('Transaction History'!L:L,$A12,
          #REF!,$B12,
          'Transaction History'!B:B,"Bet Stake")</f>
        <v>#VALUE!</v>
      </c>
      <c r="E12" s="25" t="str">
        <f>COUNTIFS('Transaction History'!L:L,$A12,
          #REF!,$B12,
          #REF!,"Win")</f>
        <v>#VALUE!</v>
      </c>
      <c r="F12" s="27" t="str">
        <f>COUNTIFS('Transaction History'!L:L,$A12,
          #REF!,$B12,
          #REF!,"Loss")</f>
        <v>#VALUE!</v>
      </c>
      <c r="G12" s="27" t="str">
        <f t="shared" si="1"/>
        <v>#VALUE!</v>
      </c>
      <c r="H12" s="32" t="str">
        <f t="shared" si="2"/>
        <v>#VALUE!</v>
      </c>
      <c r="I12" s="33" t="str">
        <f>SUMIFS(#REF!,
        'Transaction History'!L:L,$A12,
        #REF!,$B12)
-
SUMIFS(#REF!,
        'Transaction History'!L:L,$A12,
        #REF!,$B12)</f>
        <v>#N/A</v>
      </c>
      <c r="J12" s="53" t="str">
        <f t="shared" si="3"/>
        <v>#VALUE!</v>
      </c>
      <c r="K12" s="24" t="str">
        <f t="shared" si="4"/>
        <v>#N/A</v>
      </c>
    </row>
    <row r="13" ht="15.75" customHeight="1">
      <c r="A13" s="35" t="s">
        <v>15</v>
      </c>
      <c r="B13" s="35" t="s">
        <v>185</v>
      </c>
      <c r="C13" s="35">
        <v>3.0</v>
      </c>
      <c r="D13" s="35" t="str">
        <f>COUNTIFS('Transaction History'!L:L,$A13,
          #REF!,$B13,
          'Transaction History'!B:B,"Bet Stake")</f>
        <v>#VALUE!</v>
      </c>
      <c r="E13" s="35" t="str">
        <f>COUNTIFS('Transaction History'!L:L,$A13,
          #REF!,$B13,
          #REF!,"Win")</f>
        <v>#VALUE!</v>
      </c>
      <c r="F13" s="36" t="str">
        <f>COUNTIFS('Transaction History'!L:L,$A13,
          #REF!,$B13,
          #REF!,"Loss")</f>
        <v>#VALUE!</v>
      </c>
      <c r="G13" s="36" t="str">
        <f t="shared" si="1"/>
        <v>#VALUE!</v>
      </c>
      <c r="H13" s="39" t="str">
        <f t="shared" si="2"/>
        <v>#VALUE!</v>
      </c>
      <c r="I13" s="40" t="str">
        <f>SUMIFS(#REF!,
        'Transaction History'!L:L,$A13,
        #REF!,$B13)
-
SUMIFS(#REF!,
        'Transaction History'!L:L,$A13,
        #REF!,$B13)</f>
        <v>#N/A</v>
      </c>
      <c r="J13" s="53" t="str">
        <f t="shared" si="3"/>
        <v>#VALUE!</v>
      </c>
      <c r="K13" s="24" t="str">
        <f t="shared" si="4"/>
        <v>#N/A</v>
      </c>
    </row>
    <row r="14" ht="15.75" customHeight="1">
      <c r="A14" s="12" t="s">
        <v>14</v>
      </c>
      <c r="B14" s="12" t="s">
        <v>187</v>
      </c>
      <c r="C14" s="12">
        <v>4.0</v>
      </c>
      <c r="D14" s="12" t="str">
        <f>COUNTIFS('Transaction History'!L:L,$A14,
          #REF!,$B14,
          'Transaction History'!B:B,"Bet Stake")</f>
        <v>#VALUE!</v>
      </c>
      <c r="E14" s="12" t="str">
        <f>COUNTIFS('Transaction History'!L:L,$A14,
          #REF!,$B14,
          #REF!,"Win")</f>
        <v>#VALUE!</v>
      </c>
      <c r="F14" s="14" t="str">
        <f>COUNTIFS('Transaction History'!L:L,$A14,
          #REF!,$B14,
          #REF!,"Loss")</f>
        <v>#VALUE!</v>
      </c>
      <c r="G14" s="14" t="str">
        <f t="shared" si="1"/>
        <v>#VALUE!</v>
      </c>
      <c r="H14" s="21" t="str">
        <f t="shared" si="2"/>
        <v>#VALUE!</v>
      </c>
      <c r="I14" s="22" t="str">
        <f>SUMIFS(#REF!,
        'Transaction History'!L:L,$A14,
        #REF!,$B14)
-
SUMIFS(#REF!,
        'Transaction History'!L:L,$A14,
        #REF!,$B14)</f>
        <v>#N/A</v>
      </c>
      <c r="J14" s="53" t="str">
        <f t="shared" si="3"/>
        <v>#VALUE!</v>
      </c>
      <c r="K14" s="24" t="str">
        <f t="shared" si="4"/>
        <v>#N/A</v>
      </c>
    </row>
    <row r="15" ht="15.75" customHeight="1">
      <c r="A15" s="25" t="s">
        <v>16</v>
      </c>
      <c r="B15" s="25" t="s">
        <v>187</v>
      </c>
      <c r="C15" s="25">
        <v>4.0</v>
      </c>
      <c r="D15" s="25" t="str">
        <f>COUNTIFS('Transaction History'!L:L,$A15,
          #REF!,$B15,
          'Transaction History'!B:B,"Bet Stake")</f>
        <v>#VALUE!</v>
      </c>
      <c r="E15" s="25" t="str">
        <f>COUNTIFS('Transaction History'!L:L,$A15,
          #REF!,$B15,
          #REF!,"Win")</f>
        <v>#VALUE!</v>
      </c>
      <c r="F15" s="27" t="str">
        <f>COUNTIFS('Transaction History'!L:L,$A15,
          #REF!,$B15,
          #REF!,"Loss")</f>
        <v>#VALUE!</v>
      </c>
      <c r="G15" s="27" t="str">
        <f t="shared" si="1"/>
        <v>#VALUE!</v>
      </c>
      <c r="H15" s="32" t="str">
        <f t="shared" si="2"/>
        <v>#VALUE!</v>
      </c>
      <c r="I15" s="33" t="str">
        <f>SUMIFS(#REF!,
        'Transaction History'!L:L,$A15,
        #REF!,$B15)
-
SUMIFS(#REF!,
        'Transaction History'!L:L,$A15,
        #REF!,$B15)</f>
        <v>#N/A</v>
      </c>
      <c r="J15" s="53" t="str">
        <f t="shared" si="3"/>
        <v>#VALUE!</v>
      </c>
      <c r="K15" s="24" t="str">
        <f t="shared" si="4"/>
        <v>#N/A</v>
      </c>
    </row>
    <row r="16" ht="15.75" customHeight="1">
      <c r="A16" s="35" t="s">
        <v>15</v>
      </c>
      <c r="B16" s="35" t="s">
        <v>187</v>
      </c>
      <c r="C16" s="35">
        <v>4.0</v>
      </c>
      <c r="D16" s="35" t="str">
        <f>COUNTIFS('Transaction History'!L:L,$A16,
          #REF!,$B16,
          'Transaction History'!B:B,"Bet Stake")</f>
        <v>#VALUE!</v>
      </c>
      <c r="E16" s="35" t="str">
        <f>COUNTIFS('Transaction History'!L:L,$A16,
          #REF!,$B16,
          #REF!,"Win")</f>
        <v>#VALUE!</v>
      </c>
      <c r="F16" s="36" t="str">
        <f>COUNTIFS('Transaction History'!L:L,$A16,
          #REF!,$B16,
          #REF!,"Loss")</f>
        <v>#VALUE!</v>
      </c>
      <c r="G16" s="36" t="str">
        <f t="shared" si="1"/>
        <v>#VALUE!</v>
      </c>
      <c r="H16" s="39" t="str">
        <f t="shared" si="2"/>
        <v>#VALUE!</v>
      </c>
      <c r="I16" s="40" t="str">
        <f>SUMIFS(#REF!,
        'Transaction History'!L:L,$A16,
        #REF!,$B16)
-
SUMIFS(#REF!,
        'Transaction History'!L:L,$A16,
        #REF!,$B16)</f>
        <v>#N/A</v>
      </c>
      <c r="J16" s="53" t="str">
        <f t="shared" si="3"/>
        <v>#VALUE!</v>
      </c>
      <c r="K16" s="24" t="str">
        <f t="shared" si="4"/>
        <v>#N/A</v>
      </c>
    </row>
    <row r="17" ht="15.75" customHeight="1">
      <c r="A17" s="12" t="s">
        <v>16</v>
      </c>
      <c r="B17" s="12" t="s">
        <v>189</v>
      </c>
      <c r="C17" s="12">
        <v>5.0</v>
      </c>
      <c r="D17" s="12" t="str">
        <f>COUNTIFS('Transaction History'!L:L,$A17,
          #REF!,$B17,
          'Transaction History'!B:B,"Bet Stake")</f>
        <v>#VALUE!</v>
      </c>
      <c r="E17" s="12" t="str">
        <f>COUNTIFS('Transaction History'!L:L,$A17,
          #REF!,$B17,
          #REF!,"Win")</f>
        <v>#VALUE!</v>
      </c>
      <c r="F17" s="14" t="str">
        <f>COUNTIFS('Transaction History'!L:L,$A17,
          #REF!,$B17,
          #REF!,"Loss")</f>
        <v>#VALUE!</v>
      </c>
      <c r="G17" s="14" t="str">
        <f t="shared" si="1"/>
        <v>#VALUE!</v>
      </c>
      <c r="H17" s="21" t="str">
        <f t="shared" si="2"/>
        <v>#VALUE!</v>
      </c>
      <c r="I17" s="22" t="str">
        <f>SUMIFS(#REF!,
        'Transaction History'!L:L,$A17,
        #REF!,$B17)
-
SUMIFS(#REF!,
        'Transaction History'!L:L,$A17,
        #REF!,$B17)</f>
        <v>#N/A</v>
      </c>
      <c r="J17" s="53" t="str">
        <f t="shared" si="3"/>
        <v>#VALUE!</v>
      </c>
      <c r="K17" s="24" t="str">
        <f t="shared" si="4"/>
        <v>#N/A</v>
      </c>
    </row>
    <row r="18" ht="15.75" customHeight="1">
      <c r="A18" s="25" t="s">
        <v>14</v>
      </c>
      <c r="B18" s="25" t="s">
        <v>189</v>
      </c>
      <c r="C18" s="25">
        <v>5.0</v>
      </c>
      <c r="D18" s="25" t="str">
        <f>COUNTIFS('Transaction History'!L:L,$A18,
          #REF!,$B18,
          'Transaction History'!B:B,"Bet Stake")</f>
        <v>#VALUE!</v>
      </c>
      <c r="E18" s="25" t="str">
        <f>COUNTIFS('Transaction History'!L:L,$A18,
          #REF!,$B18,
          #REF!,"Win")</f>
        <v>#VALUE!</v>
      </c>
      <c r="F18" s="27" t="str">
        <f>COUNTIFS('Transaction History'!L:L,$A18,
          #REF!,$B18,
          #REF!,"Loss")</f>
        <v>#VALUE!</v>
      </c>
      <c r="G18" s="27" t="str">
        <f t="shared" si="1"/>
        <v>#VALUE!</v>
      </c>
      <c r="H18" s="32" t="str">
        <f t="shared" si="2"/>
        <v>#VALUE!</v>
      </c>
      <c r="I18" s="33" t="str">
        <f>SUMIFS(#REF!,
        'Transaction History'!L:L,$A18,
        #REF!,$B18)
-
SUMIFS(#REF!,
        'Transaction History'!L:L,$A18,
        #REF!,$B18)</f>
        <v>#N/A</v>
      </c>
      <c r="J18" s="53" t="str">
        <f t="shared" si="3"/>
        <v>#VALUE!</v>
      </c>
      <c r="K18" s="24" t="str">
        <f t="shared" si="4"/>
        <v>#N/A</v>
      </c>
    </row>
    <row r="19" ht="15.75" customHeight="1">
      <c r="A19" s="35" t="s">
        <v>15</v>
      </c>
      <c r="B19" s="35" t="s">
        <v>189</v>
      </c>
      <c r="C19" s="35">
        <v>5.0</v>
      </c>
      <c r="D19" s="35" t="str">
        <f>COUNTIFS('Transaction History'!L:L,$A19,
          #REF!,$B19,
          'Transaction History'!B:B,"Bet Stake")</f>
        <v>#VALUE!</v>
      </c>
      <c r="E19" s="35" t="str">
        <f>COUNTIFS('Transaction History'!L:L,$A19,
          #REF!,$B19,
          #REF!,"Win")</f>
        <v>#VALUE!</v>
      </c>
      <c r="F19" s="36" t="str">
        <f>COUNTIFS('Transaction History'!L:L,$A19,
          #REF!,$B19,
          #REF!,"Loss")</f>
        <v>#VALUE!</v>
      </c>
      <c r="G19" s="36" t="str">
        <f t="shared" si="1"/>
        <v>#VALUE!</v>
      </c>
      <c r="H19" s="39" t="str">
        <f t="shared" si="2"/>
        <v>#VALUE!</v>
      </c>
      <c r="I19" s="40" t="str">
        <f>SUMIFS(#REF!,
        'Transaction History'!L:L,$A19,
        #REF!,$B19)
-
SUMIFS(#REF!,
        'Transaction History'!L:L,$A19,
        #REF!,$B19)</f>
        <v>#N/A</v>
      </c>
      <c r="J19" s="53" t="str">
        <f t="shared" si="3"/>
        <v>#VALUE!</v>
      </c>
      <c r="K19" s="24" t="str">
        <f t="shared" si="4"/>
        <v>#N/A</v>
      </c>
    </row>
    <row r="20" ht="15.75" customHeight="1">
      <c r="A20" s="38" t="s">
        <v>15</v>
      </c>
      <c r="B20" s="12" t="s">
        <v>190</v>
      </c>
      <c r="C20" s="25">
        <v>6.0</v>
      </c>
      <c r="D20" s="25" t="str">
        <f>COUNTIFS('Transaction History'!L:L,$A20,
          #REF!,$B20,
          'Transaction History'!B:B,"Bet Stake")</f>
        <v>#VALUE!</v>
      </c>
      <c r="E20" s="25" t="str">
        <f>COUNTIFS('Transaction History'!L:L,$A20,
          #REF!,$B20,
          #REF!,"Win")</f>
        <v>#VALUE!</v>
      </c>
      <c r="F20" s="27" t="str">
        <f>COUNTIFS('Transaction History'!L:L,$A20,
          #REF!,$B20,
          #REF!,"Loss")</f>
        <v>#VALUE!</v>
      </c>
      <c r="G20" s="14" t="str">
        <f t="shared" si="1"/>
        <v>#VALUE!</v>
      </c>
      <c r="H20" s="32" t="str">
        <f t="shared" si="2"/>
        <v>#VALUE!</v>
      </c>
      <c r="I20" s="33" t="str">
        <f>SUMIFS(#REF!,
        'Transaction History'!L:L,$A20,
        #REF!,$B20)
-
SUMIFS(#REF!,
        'Transaction History'!L:L,$A20,
        #REF!,$B20)</f>
        <v>#N/A</v>
      </c>
      <c r="J20" s="65" t="str">
        <f t="shared" si="3"/>
        <v>#VALUE!</v>
      </c>
      <c r="K20" s="42" t="str">
        <f t="shared" si="4"/>
        <v>#N/A</v>
      </c>
    </row>
    <row r="21" ht="15.75" customHeight="1">
      <c r="A21" s="74" t="s">
        <v>14</v>
      </c>
      <c r="B21" s="25" t="s">
        <v>190</v>
      </c>
      <c r="C21" s="25">
        <v>6.0</v>
      </c>
      <c r="D21" s="25" t="str">
        <f>COUNTIFS('Transaction History'!L:L,$A21,
          #REF!,$B21,
          'Transaction History'!B:B,"Bet Stake")</f>
        <v>#VALUE!</v>
      </c>
      <c r="E21" s="25" t="str">
        <f>COUNTIFS('Transaction History'!L:L,$A21,
          #REF!,$B21,
          #REF!,"Win")</f>
        <v>#VALUE!</v>
      </c>
      <c r="F21" s="27" t="str">
        <f>COUNTIFS('Transaction History'!L:L,$A21,
          #REF!,$B21,
          #REF!,"Loss")</f>
        <v>#VALUE!</v>
      </c>
      <c r="G21" s="27" t="str">
        <f t="shared" si="1"/>
        <v>#VALUE!</v>
      </c>
      <c r="H21" s="32" t="str">
        <f t="shared" si="2"/>
        <v>#VALUE!</v>
      </c>
      <c r="I21" s="33" t="str">
        <f>SUMIFS(#REF!,
        'Transaction History'!L:L,$A21,
        #REF!,$B21)
-
SUMIFS(#REF!,
        'Transaction History'!L:L,$A21,
        #REF!,$B21)</f>
        <v>#N/A</v>
      </c>
      <c r="J21" s="65" t="str">
        <f t="shared" si="3"/>
        <v>#VALUE!</v>
      </c>
      <c r="K21" s="42" t="str">
        <f t="shared" si="4"/>
        <v>#N/A</v>
      </c>
    </row>
    <row r="22" ht="15.75" customHeight="1">
      <c r="A22" s="75" t="s">
        <v>16</v>
      </c>
      <c r="B22" s="35" t="s">
        <v>190</v>
      </c>
      <c r="C22" s="35">
        <v>6.0</v>
      </c>
      <c r="D22" s="35" t="str">
        <f>COUNTIFS('Transaction History'!L:L,$A22,
          #REF!,$B22,
          'Transaction History'!B:B,"Bet Stake")</f>
        <v>#VALUE!</v>
      </c>
      <c r="E22" s="35" t="str">
        <f>COUNTIFS('Transaction History'!L:L,$A22,
          #REF!,$B22,
          #REF!,"Win")</f>
        <v>#VALUE!</v>
      </c>
      <c r="F22" s="36" t="str">
        <f>COUNTIFS('Transaction History'!L:L,$A22,
          #REF!,$B22,
          #REF!,"Loss")</f>
        <v>#VALUE!</v>
      </c>
      <c r="G22" s="36" t="str">
        <f t="shared" si="1"/>
        <v>#VALUE!</v>
      </c>
      <c r="H22" s="39" t="str">
        <f t="shared" si="2"/>
        <v>#VALUE!</v>
      </c>
      <c r="I22" s="40" t="str">
        <f>SUMIFS(#REF!,
        'Transaction History'!L:L,$A22,
        #REF!,$B22)
-
SUMIFS(#REF!,
        'Transaction History'!L:L,$A22,
        #REF!,$B22)</f>
        <v>#N/A</v>
      </c>
      <c r="J22" s="65" t="str">
        <f t="shared" si="3"/>
        <v>#VALUE!</v>
      </c>
      <c r="K22" s="42" t="str">
        <f t="shared" si="4"/>
        <v>#N/A</v>
      </c>
    </row>
    <row r="23" ht="15.75" customHeight="1"/>
    <row r="24" ht="15.75" customHeight="1">
      <c r="A24" s="76" t="s">
        <v>191</v>
      </c>
      <c r="B24" s="77" t="s">
        <v>28</v>
      </c>
      <c r="C24" s="77" t="s">
        <v>31</v>
      </c>
      <c r="D24" s="77" t="s">
        <v>22</v>
      </c>
      <c r="E24" s="77" t="s">
        <v>23</v>
      </c>
      <c r="F24" s="77" t="s">
        <v>33</v>
      </c>
      <c r="G24" s="77" t="s">
        <v>35</v>
      </c>
      <c r="H24" s="79" t="s">
        <v>36</v>
      </c>
      <c r="I24" s="80" t="s">
        <v>38</v>
      </c>
      <c r="J24" s="80" t="s">
        <v>39</v>
      </c>
      <c r="K24" s="80" t="s">
        <v>40</v>
      </c>
      <c r="L24" s="81" t="s">
        <v>6</v>
      </c>
    </row>
    <row r="25" ht="15.75" customHeight="1">
      <c r="A25" s="2" t="s">
        <v>15</v>
      </c>
    </row>
    <row r="26" ht="15.75" customHeight="1">
      <c r="A26" s="2" t="s">
        <v>14</v>
      </c>
    </row>
    <row r="27" ht="15.75" customHeight="1">
      <c r="A27" s="2" t="s">
        <v>16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1:I1">
    <cfRule type="cellIs" dxfId="6" priority="1" operator="greaterThanOrEqual">
      <formula>0</formula>
    </cfRule>
  </conditionalFormatting>
  <conditionalFormatting sqref="H1:I1">
    <cfRule type="cellIs" dxfId="7" priority="2" operator="lessThan">
      <formula>0</formula>
    </cfRule>
  </conditionalFormatting>
  <drawing r:id="rId1"/>
  <tableParts count="2"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11" max="11" width="16.5"/>
  </cols>
  <sheetData>
    <row r="1" ht="15.75" customHeight="1">
      <c r="A1" s="4" t="s">
        <v>130</v>
      </c>
      <c r="B1" s="5" t="s">
        <v>131</v>
      </c>
      <c r="C1" s="6" t="s">
        <v>20</v>
      </c>
      <c r="D1" s="5" t="s">
        <v>21</v>
      </c>
      <c r="E1" s="5" t="s">
        <v>22</v>
      </c>
      <c r="F1" s="5" t="s">
        <v>23</v>
      </c>
      <c r="G1" s="6" t="s">
        <v>24</v>
      </c>
      <c r="H1" s="7" t="s">
        <v>26</v>
      </c>
      <c r="I1" s="9" t="s">
        <v>27</v>
      </c>
      <c r="J1" s="10" t="s">
        <v>30</v>
      </c>
      <c r="K1" s="11" t="s">
        <v>32</v>
      </c>
    </row>
    <row r="2" ht="15.75" customHeight="1">
      <c r="A2" s="12" t="s">
        <v>16</v>
      </c>
      <c r="B2" s="12" t="s">
        <v>135</v>
      </c>
      <c r="C2" s="12">
        <v>7.0</v>
      </c>
      <c r="D2" s="25" t="str">
        <f>COUNTIFS('Transaction History'!L:L,$A2,
          #REF!,$B2,
          'Transaction History'!B:B,"Bet Stake")</f>
        <v>#VALUE!</v>
      </c>
      <c r="E2" s="25" t="str">
        <f>COUNTIFS('Transaction History'!L:L,$A2,
          #REF!,$B2,
          #REF!,"Win")</f>
        <v>#VALUE!</v>
      </c>
      <c r="F2" s="27" t="str">
        <f>COUNTIFS('Transaction History'!L:L,$A2,
          #REF!,$B2,
          #REF!,"Loss")</f>
        <v>#VALUE!</v>
      </c>
      <c r="G2" s="14" t="str">
        <f t="shared" ref="G2:G19" si="1">E2+F2</f>
        <v>#VALUE!</v>
      </c>
      <c r="H2" s="32" t="str">
        <f t="shared" ref="H2:H19" si="2">E2/G2</f>
        <v>#VALUE!</v>
      </c>
      <c r="I2" s="33" t="str">
        <f>SUMIFS(#REF!,
        'Transaction History'!L:L,$A2,
        #REF!,$B2)
-
SUMIFS(#REF!,
        'Transaction History'!L:L,$A2,
        #REF!,$B2)</f>
        <v>#N/A</v>
      </c>
      <c r="J2" s="53" t="str">
        <f t="shared" ref="J2:J19" si="3">SUMIFS($E$2:E2,$A$2:A2,A2)/SUMIFS($G$2:G2,$A$2:A2,A2)</f>
        <v>#VALUE!</v>
      </c>
      <c r="K2" s="24" t="str">
        <f t="shared" ref="K2:K19" si="4">SUMIFS($I$2:I2,$A$2:A2,A2)</f>
        <v>#N/A</v>
      </c>
    </row>
    <row r="3" ht="15.75" customHeight="1">
      <c r="A3" s="25" t="s">
        <v>15</v>
      </c>
      <c r="B3" s="25" t="s">
        <v>135</v>
      </c>
      <c r="C3" s="25">
        <v>7.0</v>
      </c>
      <c r="D3" s="25" t="str">
        <f>COUNTIFS('Transaction History'!L:L,$A3,
          #REF!,$B3,
          'Transaction History'!B:B,"Bet Stake")</f>
        <v>#VALUE!</v>
      </c>
      <c r="E3" s="25" t="str">
        <f>COUNTIFS('Transaction History'!L:L,$A3,
          #REF!,$B3,
          #REF!,"Win")</f>
        <v>#VALUE!</v>
      </c>
      <c r="F3" s="27" t="str">
        <f>COUNTIFS('Transaction History'!L:L,$A3,
          #REF!,$B3,
          #REF!,"Loss")</f>
        <v>#VALUE!</v>
      </c>
      <c r="G3" s="27" t="str">
        <f t="shared" si="1"/>
        <v>#VALUE!</v>
      </c>
      <c r="H3" s="32" t="str">
        <f t="shared" si="2"/>
        <v>#VALUE!</v>
      </c>
      <c r="I3" s="33" t="str">
        <f>SUMIFS(#REF!,
        'Transaction History'!L:L,$A3,
        #REF!,$B3)
-
SUMIFS(#REF!,
        'Transaction History'!L:L,$A3,
        #REF!,$B3)</f>
        <v>#N/A</v>
      </c>
      <c r="J3" s="53" t="str">
        <f t="shared" si="3"/>
        <v>#VALUE!</v>
      </c>
      <c r="K3" s="24" t="str">
        <f t="shared" si="4"/>
        <v>#N/A</v>
      </c>
    </row>
    <row r="4" ht="15.75" customHeight="1">
      <c r="A4" s="35" t="s">
        <v>14</v>
      </c>
      <c r="B4" s="35" t="s">
        <v>135</v>
      </c>
      <c r="C4" s="35">
        <v>7.0</v>
      </c>
      <c r="D4" s="25" t="str">
        <f>COUNTIFS('Transaction History'!L:L,$A4,
          #REF!,$B4,
          'Transaction History'!B:B,"Bet Stake")</f>
        <v>#VALUE!</v>
      </c>
      <c r="E4" s="35" t="str">
        <f>COUNTIFS('Transaction History'!L:L,$A4,
          #REF!,$B4,
          #REF!,"Win")</f>
        <v>#VALUE!</v>
      </c>
      <c r="F4" s="36" t="str">
        <f>COUNTIFS('Transaction History'!L:L,$A4,
          #REF!,$B4,
          #REF!,"Loss")</f>
        <v>#VALUE!</v>
      </c>
      <c r="G4" s="36" t="str">
        <f t="shared" si="1"/>
        <v>#VALUE!</v>
      </c>
      <c r="H4" s="39" t="str">
        <f t="shared" si="2"/>
        <v>#VALUE!</v>
      </c>
      <c r="I4" s="40" t="str">
        <f>SUMIFS(#REF!,
        'Transaction History'!L:L,$A4,
        #REF!,$B4)
-
SUMIFS(#REF!,
        'Transaction History'!L:L,$A4,
        #REF!,$B4)</f>
        <v>#N/A</v>
      </c>
      <c r="J4" s="53" t="str">
        <f t="shared" si="3"/>
        <v>#VALUE!</v>
      </c>
      <c r="K4" s="24" t="str">
        <f t="shared" si="4"/>
        <v>#N/A</v>
      </c>
    </row>
    <row r="5" ht="15.75" customHeight="1">
      <c r="A5" s="12" t="s">
        <v>14</v>
      </c>
      <c r="B5" s="12" t="s">
        <v>154</v>
      </c>
      <c r="C5" s="12">
        <v>8.0</v>
      </c>
      <c r="D5" s="12" t="str">
        <f>COUNTIFS('Transaction History'!L:L,$A5,
          #REF!,$B5,
          'Transaction History'!B:B,"Bet Stake")</f>
        <v>#VALUE!</v>
      </c>
      <c r="E5" s="28" t="str">
        <f>COUNTIFS('Transaction History'!L:L,$A5,
          #REF!,$B5,
          #REF!,"Win")</f>
        <v>#VALUE!</v>
      </c>
      <c r="F5" s="27" t="str">
        <f>COUNTIFS('Transaction History'!L:L,$A5,
          #REF!,$B5,
          #REF!,"Loss")</f>
        <v>#VALUE!</v>
      </c>
      <c r="G5" s="14" t="str">
        <f t="shared" si="1"/>
        <v>#VALUE!</v>
      </c>
      <c r="H5" s="32" t="str">
        <f t="shared" si="2"/>
        <v>#VALUE!</v>
      </c>
      <c r="I5" s="33" t="str">
        <f>SUMIFS(#REF!,
        'Transaction History'!L:L,$A5,
        #REF!,$B5)
-
SUMIFS(#REF!,
        'Transaction History'!L:L,$A5,
        #REF!,$B5)</f>
        <v>#N/A</v>
      </c>
      <c r="J5" s="53" t="str">
        <f t="shared" si="3"/>
        <v>#VALUE!</v>
      </c>
      <c r="K5" s="24" t="str">
        <f t="shared" si="4"/>
        <v>#N/A</v>
      </c>
    </row>
    <row r="6" ht="15.75" customHeight="1">
      <c r="A6" s="25" t="s">
        <v>16</v>
      </c>
      <c r="B6" s="25" t="s">
        <v>154</v>
      </c>
      <c r="C6" s="25">
        <v>8.0</v>
      </c>
      <c r="D6" s="25" t="str">
        <f>COUNTIFS('Transaction History'!L:L,$A6,
          #REF!,$B6,
          'Transaction History'!B:B,"Bet Stake")</f>
        <v>#VALUE!</v>
      </c>
      <c r="E6" s="28" t="str">
        <f>COUNTIFS('Transaction History'!L:L,$A6,
          #REF!,$B6,
          #REF!,"Win")</f>
        <v>#VALUE!</v>
      </c>
      <c r="F6" s="27" t="str">
        <f>COUNTIFS('Transaction History'!L:L,$A6,
          #REF!,$B6,
          #REF!,"Loss")</f>
        <v>#VALUE!</v>
      </c>
      <c r="G6" s="27" t="str">
        <f t="shared" si="1"/>
        <v>#VALUE!</v>
      </c>
      <c r="H6" s="32" t="str">
        <f t="shared" si="2"/>
        <v>#VALUE!</v>
      </c>
      <c r="I6" s="33" t="str">
        <f>SUMIFS(#REF!,
        'Transaction History'!L:L,$A6,
        #REF!,$B6)
-
SUMIFS(#REF!,
        'Transaction History'!L:L,$A6,
        #REF!,$B6)</f>
        <v>#N/A</v>
      </c>
      <c r="J6" s="53" t="str">
        <f t="shared" si="3"/>
        <v>#VALUE!</v>
      </c>
      <c r="K6" s="24" t="str">
        <f t="shared" si="4"/>
        <v>#N/A</v>
      </c>
    </row>
    <row r="7" ht="15.75" customHeight="1">
      <c r="A7" s="25" t="s">
        <v>15</v>
      </c>
      <c r="B7" s="25" t="s">
        <v>154</v>
      </c>
      <c r="C7" s="25">
        <v>8.0</v>
      </c>
      <c r="D7" s="25" t="str">
        <f>COUNTIFS('Transaction History'!L:L,$A7,
          #REF!,$B7,
          'Transaction History'!B:B,"Bet Stake")</f>
        <v>#VALUE!</v>
      </c>
      <c r="E7" s="28" t="str">
        <f>COUNTIFS('Transaction History'!L:L,$A7,
          #REF!,$B7,
          #REF!,"Win")</f>
        <v>#VALUE!</v>
      </c>
      <c r="F7" s="36" t="str">
        <f>COUNTIFS('Transaction History'!L:L,$A7,
          #REF!,$B7,
          #REF!,"Loss")</f>
        <v>#VALUE!</v>
      </c>
      <c r="G7" s="36" t="str">
        <f t="shared" si="1"/>
        <v>#VALUE!</v>
      </c>
      <c r="H7" s="39" t="str">
        <f t="shared" si="2"/>
        <v>#VALUE!</v>
      </c>
      <c r="I7" s="40" t="str">
        <f>SUMIFS(#REF!,
        'Transaction History'!L:L,$A7,
        #REF!,$B7)
-
SUMIFS(#REF!,
        'Transaction History'!L:L,$A7,
        #REF!,$B7)</f>
        <v>#N/A</v>
      </c>
      <c r="J7" s="53" t="str">
        <f t="shared" si="3"/>
        <v>#VALUE!</v>
      </c>
      <c r="K7" s="24" t="str">
        <f t="shared" si="4"/>
        <v>#N/A</v>
      </c>
    </row>
    <row r="8" ht="15.75" customHeight="1">
      <c r="A8" s="14" t="s">
        <v>15</v>
      </c>
      <c r="B8" s="6" t="s">
        <v>167</v>
      </c>
      <c r="C8" s="6">
        <v>9.0</v>
      </c>
      <c r="D8" s="6" t="str">
        <f>COUNTIFS('Transaction History'!L:L,$A8,
          #REF!,$B8,
          'Transaction History'!B:B,"Bet Stake")</f>
        <v>#VALUE!</v>
      </c>
      <c r="E8" s="18" t="str">
        <f>COUNTIFS('Transaction History'!L:L,$A8,
          #REF!,$B8,
          #REF!,"Win")</f>
        <v>#VALUE!</v>
      </c>
      <c r="F8" s="43" t="str">
        <f>COUNTIFS('Transaction History'!L:L,$A8,
          #REF!,$B8,
          #REF!,"Loss")</f>
        <v>#VALUE!</v>
      </c>
      <c r="G8" s="14" t="str">
        <f t="shared" si="1"/>
        <v>#VALUE!</v>
      </c>
      <c r="H8" s="32" t="str">
        <f t="shared" si="2"/>
        <v>#VALUE!</v>
      </c>
      <c r="I8" s="33" t="str">
        <f>SUMIFS(#REF!,
        'Transaction History'!L:L,$A8,
        #REF!,$B8)
-
SUMIFS(#REF!,
        'Transaction History'!L:L,$A8,
        #REF!,$B8)</f>
        <v>#N/A</v>
      </c>
      <c r="J8" s="53" t="str">
        <f t="shared" si="3"/>
        <v>#VALUE!</v>
      </c>
      <c r="K8" s="24" t="str">
        <f t="shared" si="4"/>
        <v>#N/A</v>
      </c>
    </row>
    <row r="9" ht="15.75" customHeight="1">
      <c r="A9" s="27" t="s">
        <v>14</v>
      </c>
      <c r="B9" s="43" t="s">
        <v>167</v>
      </c>
      <c r="C9" s="43">
        <v>9.0</v>
      </c>
      <c r="D9" s="43" t="str">
        <f>COUNTIFS('Transaction History'!L:L,$A9,
          #REF!,$B9,
          'Transaction History'!B:B,"Bet Stake")</f>
        <v>#VALUE!</v>
      </c>
      <c r="E9" s="28" t="str">
        <f>COUNTIFS('Transaction History'!L:L,$A9,
          #REF!,$B9,
          #REF!,"Win")</f>
        <v>#VALUE!</v>
      </c>
      <c r="F9" s="43" t="str">
        <f>COUNTIFS('Transaction History'!L:L,$A9,
          #REF!,$B9,
          #REF!,"Loss")</f>
        <v>#VALUE!</v>
      </c>
      <c r="G9" s="27" t="str">
        <f t="shared" si="1"/>
        <v>#VALUE!</v>
      </c>
      <c r="H9" s="32" t="str">
        <f t="shared" si="2"/>
        <v>#VALUE!</v>
      </c>
      <c r="I9" s="33" t="str">
        <f>SUMIFS(#REF!,
        'Transaction History'!L:L,$A9,
        #REF!,$B9)
-
SUMIFS(#REF!,
        'Transaction History'!L:L,$A9,
        #REF!,$B9)</f>
        <v>#N/A</v>
      </c>
      <c r="J9" s="53" t="str">
        <f t="shared" si="3"/>
        <v>#VALUE!</v>
      </c>
      <c r="K9" s="24" t="str">
        <f t="shared" si="4"/>
        <v>#N/A</v>
      </c>
    </row>
    <row r="10" ht="15.75" customHeight="1">
      <c r="A10" s="27" t="s">
        <v>16</v>
      </c>
      <c r="B10" s="43" t="s">
        <v>167</v>
      </c>
      <c r="C10" s="43">
        <v>9.0</v>
      </c>
      <c r="D10" s="43" t="str">
        <f>COUNTIFS('Transaction History'!L:L,$A10,
          #REF!,$B10,
          'Transaction History'!B:B,"Bet Stake")</f>
        <v>#VALUE!</v>
      </c>
      <c r="E10" s="28" t="str">
        <f>COUNTIFS('Transaction History'!L:L,$A10,
          #REF!,$B10,
          #REF!,"Win")</f>
        <v>#VALUE!</v>
      </c>
      <c r="F10" s="58" t="str">
        <f>COUNTIFS('Transaction History'!L:L,$A10,
          #REF!,$B10,
          #REF!,"Loss")</f>
        <v>#VALUE!</v>
      </c>
      <c r="G10" s="36" t="str">
        <f t="shared" si="1"/>
        <v>#VALUE!</v>
      </c>
      <c r="H10" s="39" t="str">
        <f t="shared" si="2"/>
        <v>#VALUE!</v>
      </c>
      <c r="I10" s="40" t="str">
        <f>SUMIFS(#REF!,
        'Transaction History'!L:L,$A10,
        #REF!,$B10)
-
SUMIFS(#REF!,
        'Transaction History'!L:L,$A10,
        #REF!,$B10)</f>
        <v>#N/A</v>
      </c>
      <c r="J10" s="53" t="str">
        <f t="shared" si="3"/>
        <v>#VALUE!</v>
      </c>
      <c r="K10" s="24" t="str">
        <f t="shared" si="4"/>
        <v>#N/A</v>
      </c>
    </row>
    <row r="11" ht="15.75" customHeight="1">
      <c r="A11" s="14" t="s">
        <v>14</v>
      </c>
      <c r="B11" s="6" t="s">
        <v>184</v>
      </c>
      <c r="C11" s="6">
        <v>10.0</v>
      </c>
      <c r="D11" s="6" t="str">
        <f>COUNTIFS('Transaction History'!L:L,$A11,
          #REF!,$B11,
          'Transaction History'!B:B,"Bet Stake")</f>
        <v>#VALUE!</v>
      </c>
      <c r="E11" s="18" t="str">
        <f>COUNTIFS('Transaction History'!L:L,$A11,
          #REF!,$B11,
          #REF!,"Win")</f>
        <v>#VALUE!</v>
      </c>
      <c r="F11" s="43" t="str">
        <f>COUNTIFS('Transaction History'!L:L,$A11,
          #REF!,$B11,
          #REF!,"Loss")</f>
        <v>#VALUE!</v>
      </c>
      <c r="G11" s="14" t="str">
        <f t="shared" si="1"/>
        <v>#VALUE!</v>
      </c>
      <c r="H11" s="32" t="str">
        <f t="shared" si="2"/>
        <v>#VALUE!</v>
      </c>
      <c r="I11" s="33" t="str">
        <f>SUMIFS(#REF!,
        'Transaction History'!L:L,$A11,
        #REF!,$B11)
-
SUMIFS(#REF!,
        'Transaction History'!L:L,$A11,
        #REF!,$B11)</f>
        <v>#N/A</v>
      </c>
      <c r="J11" s="53" t="str">
        <f t="shared" si="3"/>
        <v>#VALUE!</v>
      </c>
      <c r="K11" s="24" t="str">
        <f t="shared" si="4"/>
        <v>#N/A</v>
      </c>
    </row>
    <row r="12" ht="15.75" customHeight="1">
      <c r="A12" s="27" t="s">
        <v>15</v>
      </c>
      <c r="B12" s="43" t="s">
        <v>184</v>
      </c>
      <c r="C12" s="43">
        <v>10.0</v>
      </c>
      <c r="D12" s="43" t="str">
        <f>COUNTIFS('Transaction History'!L:L,$A12,
          #REF!,$B12,
          'Transaction History'!B:B,"Bet Stake")</f>
        <v>#VALUE!</v>
      </c>
      <c r="E12" s="28" t="str">
        <f>COUNTIFS('Transaction History'!L:L,$A12,
          #REF!,$B12,
          #REF!,"Win")</f>
        <v>#VALUE!</v>
      </c>
      <c r="F12" s="43" t="str">
        <f>COUNTIFS('Transaction History'!L:L,$A12,
          #REF!,$B12,
          #REF!,"Loss")</f>
        <v>#VALUE!</v>
      </c>
      <c r="G12" s="27" t="str">
        <f t="shared" si="1"/>
        <v>#VALUE!</v>
      </c>
      <c r="H12" s="32" t="str">
        <f t="shared" si="2"/>
        <v>#VALUE!</v>
      </c>
      <c r="I12" s="33" t="str">
        <f>SUMIFS(#REF!,
        'Transaction History'!L:L,$A12,
        #REF!,$B12)
-
SUMIFS(#REF!,
        'Transaction History'!L:L,$A12,
        #REF!,$B12)</f>
        <v>#N/A</v>
      </c>
      <c r="J12" s="53" t="str">
        <f t="shared" si="3"/>
        <v>#VALUE!</v>
      </c>
      <c r="K12" s="24" t="str">
        <f t="shared" si="4"/>
        <v>#N/A</v>
      </c>
    </row>
    <row r="13" ht="15.75" customHeight="1">
      <c r="A13" s="36" t="s">
        <v>16</v>
      </c>
      <c r="B13" s="58" t="s">
        <v>184</v>
      </c>
      <c r="C13" s="58">
        <v>10.0</v>
      </c>
      <c r="D13" s="58" t="str">
        <f>COUNTIFS('Transaction History'!L:L,$A13,
          #REF!,$B13,
          'Transaction History'!B:B,"Bet Stake")</f>
        <v>#VALUE!</v>
      </c>
      <c r="E13" s="37" t="str">
        <f>COUNTIFS('Transaction History'!L:L,$A13,
          #REF!,$B13,
          #REF!,"Win")</f>
        <v>#VALUE!</v>
      </c>
      <c r="F13" s="58" t="str">
        <f>COUNTIFS('Transaction History'!L:L,$A13,
          #REF!,$B13,
          #REF!,"Loss")</f>
        <v>#VALUE!</v>
      </c>
      <c r="G13" s="36" t="str">
        <f t="shared" si="1"/>
        <v>#VALUE!</v>
      </c>
      <c r="H13" s="39" t="str">
        <f t="shared" si="2"/>
        <v>#VALUE!</v>
      </c>
      <c r="I13" s="40" t="str">
        <f>SUMIFS(#REF!,
        'Transaction History'!L:L,$A13,
        #REF!,$B13)
-
SUMIFS(#REF!,
        'Transaction History'!L:L,$A13,
        #REF!,$B13)</f>
        <v>#N/A</v>
      </c>
      <c r="J13" s="53" t="str">
        <f t="shared" si="3"/>
        <v>#VALUE!</v>
      </c>
      <c r="K13" s="24" t="str">
        <f t="shared" si="4"/>
        <v>#N/A</v>
      </c>
    </row>
    <row r="14" ht="15.75" customHeight="1">
      <c r="A14" s="43" t="s">
        <v>15</v>
      </c>
      <c r="B14" s="43" t="s">
        <v>186</v>
      </c>
      <c r="C14" s="6">
        <v>11.0</v>
      </c>
      <c r="D14" s="6" t="str">
        <f>COUNTIFS('Transaction History'!L:L,$A14,
          #REF!,$B14,
          'Transaction History'!B:B,"Bet Stake")</f>
        <v>#VALUE!</v>
      </c>
      <c r="E14" s="18" t="str">
        <f>COUNTIFS('Transaction History'!L:L,$A14,
          #REF!,$B14,
          #REF!,"Win")</f>
        <v>#VALUE!</v>
      </c>
      <c r="F14" s="43" t="str">
        <f>COUNTIFS('Transaction History'!L:L,$A14,
          #REF!,$B14,
          #REF!,"Loss")</f>
        <v>#VALUE!</v>
      </c>
      <c r="G14" s="14" t="str">
        <f t="shared" si="1"/>
        <v>#VALUE!</v>
      </c>
      <c r="H14" s="39" t="str">
        <f t="shared" si="2"/>
        <v>#VALUE!</v>
      </c>
      <c r="I14" s="40" t="str">
        <f>SUMIFS(#REF!,
        'Transaction History'!L:L,$A14,
        #REF!,$B14)
-
SUMIFS(#REF!,
        'Transaction History'!L:L,$A14,
        #REF!,$B14)</f>
        <v>#N/A</v>
      </c>
      <c r="J14" s="53" t="str">
        <f t="shared" si="3"/>
        <v>#VALUE!</v>
      </c>
      <c r="K14" s="24" t="str">
        <f t="shared" si="4"/>
        <v>#N/A</v>
      </c>
    </row>
    <row r="15" ht="15.75" customHeight="1">
      <c r="A15" s="43" t="s">
        <v>16</v>
      </c>
      <c r="B15" s="43" t="s">
        <v>186</v>
      </c>
      <c r="C15" s="43">
        <v>11.0</v>
      </c>
      <c r="D15" s="43" t="str">
        <f>COUNTIFS('Transaction History'!L:L,$A15,
          #REF!,$B15,
          'Transaction History'!B:B,"Bet Stake")</f>
        <v>#VALUE!</v>
      </c>
      <c r="E15" s="28" t="str">
        <f>COUNTIFS('Transaction History'!L:L,$A15,
          #REF!,$B15,
          #REF!,"Win")</f>
        <v>#VALUE!</v>
      </c>
      <c r="F15" s="43" t="str">
        <f>COUNTIFS('Transaction History'!L:L,$A15,
          #REF!,$B15,
          #REF!,"Loss")</f>
        <v>#VALUE!</v>
      </c>
      <c r="G15" s="27" t="str">
        <f t="shared" si="1"/>
        <v>#VALUE!</v>
      </c>
      <c r="H15" s="32" t="str">
        <f t="shared" si="2"/>
        <v>#VALUE!</v>
      </c>
      <c r="I15" s="33" t="str">
        <f>SUMIFS(#REF!,
        'Transaction History'!L:L,$A15,
        #REF!,$B15)
-
SUMIFS(#REF!,
        'Transaction History'!L:L,$A15,
        #REF!,$B15)</f>
        <v>#N/A</v>
      </c>
      <c r="J15" s="53" t="str">
        <f t="shared" si="3"/>
        <v>#VALUE!</v>
      </c>
      <c r="K15" s="24" t="str">
        <f t="shared" si="4"/>
        <v>#N/A</v>
      </c>
    </row>
    <row r="16" ht="15.75" customHeight="1">
      <c r="A16" s="43" t="s">
        <v>14</v>
      </c>
      <c r="B16" s="43" t="s">
        <v>186</v>
      </c>
      <c r="C16" s="43">
        <v>11.0</v>
      </c>
      <c r="D16" s="58" t="str">
        <f>COUNTIFS('Transaction History'!L:L,$A16,
          #REF!,$B16,
          'Transaction History'!B:B,"Bet Stake")</f>
        <v>#VALUE!</v>
      </c>
      <c r="E16" s="37" t="str">
        <f>COUNTIFS('Transaction History'!L:L,$A16,
          #REF!,$B16,
          #REF!,"Win")</f>
        <v>#VALUE!</v>
      </c>
      <c r="F16" s="58" t="str">
        <f>COUNTIFS('Transaction History'!L:L,$A16,
          #REF!,$B16,
          #REF!,"Loss")</f>
        <v>#VALUE!</v>
      </c>
      <c r="G16" s="36" t="str">
        <f t="shared" si="1"/>
        <v>#VALUE!</v>
      </c>
      <c r="H16" s="32" t="str">
        <f t="shared" si="2"/>
        <v>#VALUE!</v>
      </c>
      <c r="I16" s="33" t="str">
        <f>SUMIFS(#REF!,
        'Transaction History'!L:L,$A16,
        #REF!,$B16)
-
SUMIFS(#REF!,
        'Transaction History'!L:L,$A16,
        #REF!,$B16)</f>
        <v>#N/A</v>
      </c>
      <c r="J16" s="53" t="str">
        <f t="shared" si="3"/>
        <v>#VALUE!</v>
      </c>
      <c r="K16" s="24" t="str">
        <f t="shared" si="4"/>
        <v>#N/A</v>
      </c>
    </row>
    <row r="17" ht="15.75" customHeight="1">
      <c r="A17" s="31" t="s">
        <v>14</v>
      </c>
      <c r="B17" s="43" t="s">
        <v>188</v>
      </c>
      <c r="C17" s="43">
        <v>12.0</v>
      </c>
      <c r="D17" s="6" t="str">
        <f>COUNTIFS('Transaction History'!L:L,$A17,
          #REF!,$B17,
          'Transaction History'!B:B,"Bet Stake")</f>
        <v>#VALUE!</v>
      </c>
      <c r="E17" s="18" t="str">
        <f>COUNTIFS('Transaction History'!L:L,$A17,
          #REF!,$B17,
          #REF!,"Win")</f>
        <v>#VALUE!</v>
      </c>
      <c r="F17" s="43" t="str">
        <f>COUNTIFS('Transaction History'!L:L,$A17,
          #REF!,$B17,
          #REF!,"Loss")</f>
        <v>#VALUE!</v>
      </c>
      <c r="G17" s="14" t="str">
        <f t="shared" si="1"/>
        <v>#VALUE!</v>
      </c>
      <c r="H17" s="39" t="str">
        <f t="shared" si="2"/>
        <v>#VALUE!</v>
      </c>
      <c r="I17" s="40" t="str">
        <f>SUMIFS(#REF!,
        'Transaction History'!L:L,$A17,
        #REF!,$B17)
-
SUMIFS(#REF!,
        'Transaction History'!L:L,$A17,
        #REF!,$B17)</f>
        <v>#N/A</v>
      </c>
      <c r="J17" s="65" t="str">
        <f t="shared" si="3"/>
        <v>#VALUE!</v>
      </c>
      <c r="K17" s="42" t="str">
        <f t="shared" si="4"/>
        <v>#N/A</v>
      </c>
    </row>
    <row r="18" ht="15.75" customHeight="1">
      <c r="A18" s="31" t="s">
        <v>16</v>
      </c>
      <c r="B18" s="43" t="s">
        <v>188</v>
      </c>
      <c r="C18" s="43">
        <v>12.0</v>
      </c>
      <c r="D18" s="43" t="str">
        <f>COUNTIFS('Transaction History'!L:L,$A18,
          #REF!,$B18,
          'Transaction History'!B:B,"Bet Stake")</f>
        <v>#VALUE!</v>
      </c>
      <c r="E18" s="28" t="str">
        <f>COUNTIFS('Transaction History'!L:L,$A18,
          #REF!,$B18,
          #REF!,"Win")</f>
        <v>#VALUE!</v>
      </c>
      <c r="F18" s="43" t="str">
        <f>COUNTIFS('Transaction History'!L:L,$A18,
          #REF!,$B18,
          #REF!,"Loss")</f>
        <v>#VALUE!</v>
      </c>
      <c r="G18" s="27" t="str">
        <f t="shared" si="1"/>
        <v>#VALUE!</v>
      </c>
      <c r="H18" s="32" t="str">
        <f t="shared" si="2"/>
        <v>#VALUE!</v>
      </c>
      <c r="I18" s="33" t="str">
        <f>SUMIFS(#REF!,
        'Transaction History'!L:L,$A18,
        #REF!,$B18)
-
SUMIFS(#REF!,
        'Transaction History'!L:L,$A18,
        #REF!,$B18)</f>
        <v>#N/A</v>
      </c>
      <c r="J18" s="65" t="str">
        <f t="shared" si="3"/>
        <v>#VALUE!</v>
      </c>
      <c r="K18" s="42" t="str">
        <f t="shared" si="4"/>
        <v>#N/A</v>
      </c>
    </row>
    <row r="19" ht="15.75" customHeight="1">
      <c r="A19" s="31" t="s">
        <v>15</v>
      </c>
      <c r="B19" s="43" t="s">
        <v>188</v>
      </c>
      <c r="C19" s="43">
        <v>12.0</v>
      </c>
      <c r="D19" s="58" t="str">
        <f>COUNTIFS('Transaction History'!L:L,$A19,
          #REF!,$B19,
          'Transaction History'!B:B,"Bet Stake")</f>
        <v>#VALUE!</v>
      </c>
      <c r="E19" s="37" t="str">
        <f>COUNTIFS('Transaction History'!L:L,$A19,
          #REF!,$B19,
          #REF!,"Win")</f>
        <v>#VALUE!</v>
      </c>
      <c r="F19" s="58" t="str">
        <f>COUNTIFS('Transaction History'!L:L,$A19,
          #REF!,$B19,
          #REF!,"Loss")</f>
        <v>#VALUE!</v>
      </c>
      <c r="G19" s="36" t="str">
        <f t="shared" si="1"/>
        <v>#VALUE!</v>
      </c>
      <c r="H19" s="32" t="str">
        <f t="shared" si="2"/>
        <v>#VALUE!</v>
      </c>
      <c r="I19" s="33" t="str">
        <f>SUMIFS(#REF!,
        'Transaction History'!L:L,$A19,
        #REF!,$B19)
-
SUMIFS(#REF!,
        'Transaction History'!L:L,$A19,
        #REF!,$B19)</f>
        <v>#N/A</v>
      </c>
      <c r="J19" s="65" t="str">
        <f t="shared" si="3"/>
        <v>#VALUE!</v>
      </c>
      <c r="K19" s="42" t="str">
        <f t="shared" si="4"/>
        <v>#N/A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1:I1">
    <cfRule type="cellIs" dxfId="6" priority="1" operator="greaterThanOrEqual">
      <formula>0</formula>
    </cfRule>
  </conditionalFormatting>
  <conditionalFormatting sqref="H1:I1">
    <cfRule type="cellIs" dxfId="7" priority="2" operator="lessThan">
      <formula>0</formula>
    </cfRule>
  </conditionalFormatting>
  <conditionalFormatting sqref="J1">
    <cfRule type="cellIs" dxfId="6" priority="3" operator="greaterThanOrEqual">
      <formula>0</formula>
    </cfRule>
  </conditionalFormatting>
  <conditionalFormatting sqref="J1">
    <cfRule type="cellIs" dxfId="7" priority="4" operator="lessThan">
      <formula>0</formula>
    </cfRule>
  </conditionalFormatting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11" max="11" width="18.13"/>
  </cols>
  <sheetData>
    <row r="1" ht="15.75" customHeight="1">
      <c r="A1" s="4" t="s">
        <v>130</v>
      </c>
      <c r="B1" s="5" t="s">
        <v>131</v>
      </c>
      <c r="C1" s="6" t="s">
        <v>20</v>
      </c>
      <c r="D1" s="5" t="s">
        <v>21</v>
      </c>
      <c r="E1" s="5" t="s">
        <v>22</v>
      </c>
      <c r="F1" s="5" t="s">
        <v>23</v>
      </c>
      <c r="G1" s="6" t="s">
        <v>24</v>
      </c>
      <c r="H1" s="7" t="s">
        <v>26</v>
      </c>
      <c r="I1" s="9" t="s">
        <v>27</v>
      </c>
      <c r="J1" s="10" t="s">
        <v>30</v>
      </c>
      <c r="K1" s="11" t="s">
        <v>32</v>
      </c>
    </row>
    <row r="2" ht="15.75" customHeight="1">
      <c r="A2" s="14" t="s">
        <v>14</v>
      </c>
      <c r="B2" s="6" t="s">
        <v>192</v>
      </c>
      <c r="C2" s="6">
        <v>13.0</v>
      </c>
      <c r="D2" s="6">
        <v>2.0</v>
      </c>
      <c r="E2" s="6">
        <v>1.0</v>
      </c>
      <c r="F2" s="6">
        <v>1.0</v>
      </c>
      <c r="G2" s="6">
        <v>2.0</v>
      </c>
      <c r="H2" s="7">
        <v>0.5</v>
      </c>
      <c r="I2" s="82">
        <v>56.0</v>
      </c>
      <c r="J2" s="53">
        <f t="shared" ref="J2:J13" si="1">SUMIFS($E$2:E2,$A$2:A2,A2)/SUMIFS($G$2:G2,$A$2:A2,A2)</f>
        <v>0.5</v>
      </c>
      <c r="K2" s="24">
        <f t="shared" ref="K2:K13" si="2">SUMIFS($I$2:I2,$A$2:A2,A2)</f>
        <v>56</v>
      </c>
    </row>
    <row r="3" ht="15.75" customHeight="1">
      <c r="A3" s="27" t="s">
        <v>16</v>
      </c>
      <c r="B3" s="43" t="s">
        <v>192</v>
      </c>
      <c r="C3" s="43">
        <v>13.0</v>
      </c>
      <c r="D3" s="43">
        <v>2.0</v>
      </c>
      <c r="E3" s="43">
        <v>1.0</v>
      </c>
      <c r="F3" s="43">
        <v>1.0</v>
      </c>
      <c r="G3" s="43">
        <v>2.0</v>
      </c>
      <c r="H3" s="44">
        <v>0.5</v>
      </c>
      <c r="I3" s="11">
        <v>24.65</v>
      </c>
      <c r="J3" s="53">
        <f t="shared" si="1"/>
        <v>0.5</v>
      </c>
      <c r="K3" s="24">
        <f t="shared" si="2"/>
        <v>24.65</v>
      </c>
    </row>
    <row r="4" ht="15.75" customHeight="1">
      <c r="A4" s="36" t="s">
        <v>15</v>
      </c>
      <c r="B4" s="58" t="s">
        <v>192</v>
      </c>
      <c r="C4" s="58">
        <v>13.0</v>
      </c>
      <c r="D4" s="58">
        <v>2.0</v>
      </c>
      <c r="E4" s="58">
        <v>2.0</v>
      </c>
      <c r="F4" s="58">
        <v>0.0</v>
      </c>
      <c r="G4" s="58">
        <v>2.0</v>
      </c>
      <c r="H4" s="83">
        <v>1.0</v>
      </c>
      <c r="I4" s="84">
        <v>78.2</v>
      </c>
      <c r="J4" s="10">
        <f t="shared" si="1"/>
        <v>1</v>
      </c>
      <c r="K4" s="26">
        <f t="shared" si="2"/>
        <v>78.2</v>
      </c>
    </row>
    <row r="5" ht="15.75" customHeight="1">
      <c r="A5" s="14" t="s">
        <v>14</v>
      </c>
      <c r="B5" s="6" t="s">
        <v>193</v>
      </c>
      <c r="C5" s="6">
        <v>14.0</v>
      </c>
      <c r="D5" s="6">
        <v>3.0</v>
      </c>
      <c r="E5" s="6">
        <v>0.0</v>
      </c>
      <c r="F5" s="6">
        <v>3.0</v>
      </c>
      <c r="G5" s="6">
        <v>3.0</v>
      </c>
      <c r="H5" s="7">
        <v>0.0</v>
      </c>
      <c r="I5" s="82">
        <v>-66.0</v>
      </c>
      <c r="J5" s="53">
        <f t="shared" si="1"/>
        <v>0.2</v>
      </c>
      <c r="K5" s="24">
        <f t="shared" si="2"/>
        <v>-10</v>
      </c>
    </row>
    <row r="6" ht="15.75" customHeight="1">
      <c r="A6" s="27" t="s">
        <v>16</v>
      </c>
      <c r="B6" s="43" t="s">
        <v>193</v>
      </c>
      <c r="C6" s="43">
        <v>14.0</v>
      </c>
      <c r="D6" s="43">
        <v>4.0</v>
      </c>
      <c r="E6" s="43">
        <v>1.0</v>
      </c>
      <c r="F6" s="43">
        <v>3.0</v>
      </c>
      <c r="G6" s="43">
        <v>4.0</v>
      </c>
      <c r="H6" s="44">
        <v>0.25</v>
      </c>
      <c r="I6" s="11">
        <v>-11.0</v>
      </c>
      <c r="J6" s="53">
        <f t="shared" si="1"/>
        <v>0.3333333333</v>
      </c>
      <c r="K6" s="24">
        <f t="shared" si="2"/>
        <v>13.65</v>
      </c>
    </row>
    <row r="7" ht="15.75" customHeight="1">
      <c r="A7" s="36" t="s">
        <v>15</v>
      </c>
      <c r="B7" s="58" t="s">
        <v>193</v>
      </c>
      <c r="C7" s="58">
        <v>14.0</v>
      </c>
      <c r="D7" s="58">
        <v>3.0</v>
      </c>
      <c r="E7" s="58">
        <v>1.0</v>
      </c>
      <c r="F7" s="58">
        <v>1.0</v>
      </c>
      <c r="G7" s="58">
        <v>2.0</v>
      </c>
      <c r="H7" s="83">
        <v>0.5</v>
      </c>
      <c r="I7" s="84">
        <v>32.99999999999999</v>
      </c>
      <c r="J7" s="10">
        <f t="shared" si="1"/>
        <v>0.75</v>
      </c>
      <c r="K7" s="26">
        <f t="shared" si="2"/>
        <v>111.2</v>
      </c>
    </row>
    <row r="8" ht="15.75" customHeight="1">
      <c r="A8" s="14" t="s">
        <v>14</v>
      </c>
      <c r="B8" s="6" t="s">
        <v>194</v>
      </c>
      <c r="C8" s="6">
        <v>15.0</v>
      </c>
      <c r="D8" s="6">
        <v>4.0</v>
      </c>
      <c r="E8" s="6">
        <v>3.0</v>
      </c>
      <c r="F8" s="6">
        <v>0.0</v>
      </c>
      <c r="G8" s="6">
        <v>3.0</v>
      </c>
      <c r="H8" s="7">
        <v>1.0</v>
      </c>
      <c r="I8" s="82">
        <v>90.94</v>
      </c>
      <c r="J8" s="53">
        <f t="shared" si="1"/>
        <v>0.5</v>
      </c>
      <c r="K8" s="24">
        <f t="shared" si="2"/>
        <v>80.94</v>
      </c>
    </row>
    <row r="9" ht="15.75" customHeight="1">
      <c r="A9" s="27" t="s">
        <v>16</v>
      </c>
      <c r="B9" s="43" t="s">
        <v>194</v>
      </c>
      <c r="C9" s="43">
        <v>15.0</v>
      </c>
      <c r="D9" s="43">
        <v>3.0</v>
      </c>
      <c r="E9" s="43">
        <v>1.0</v>
      </c>
      <c r="F9" s="43">
        <v>2.0</v>
      </c>
      <c r="G9" s="43">
        <v>3.0</v>
      </c>
      <c r="H9" s="44">
        <v>0.3333333333333333</v>
      </c>
      <c r="I9" s="11">
        <v>26.200000000000003</v>
      </c>
      <c r="J9" s="53">
        <f t="shared" si="1"/>
        <v>0.3333333333</v>
      </c>
      <c r="K9" s="24">
        <f t="shared" si="2"/>
        <v>39.85</v>
      </c>
    </row>
    <row r="10" ht="15.75" customHeight="1">
      <c r="A10" s="36" t="s">
        <v>15</v>
      </c>
      <c r="B10" s="58" t="s">
        <v>194</v>
      </c>
      <c r="C10" s="58">
        <v>15.0</v>
      </c>
      <c r="D10" s="58">
        <v>2.0</v>
      </c>
      <c r="E10" s="58">
        <v>0.0</v>
      </c>
      <c r="F10" s="58">
        <v>2.0</v>
      </c>
      <c r="G10" s="58">
        <v>2.0</v>
      </c>
      <c r="H10" s="83">
        <v>0.0</v>
      </c>
      <c r="I10" s="84">
        <v>-57.0</v>
      </c>
      <c r="J10" s="10">
        <f t="shared" si="1"/>
        <v>0.5</v>
      </c>
      <c r="K10" s="26">
        <f t="shared" si="2"/>
        <v>54.2</v>
      </c>
    </row>
    <row r="11" ht="15.75" customHeight="1">
      <c r="A11" s="14" t="s">
        <v>14</v>
      </c>
      <c r="B11" s="6" t="s">
        <v>195</v>
      </c>
      <c r="C11" s="6">
        <v>16.0</v>
      </c>
      <c r="D11" s="6" t="str">
        <f>COUNTIFS('Transaction History'!L:L,$A11,
          #REF!,$B11,
          'Transaction History'!B:B,"Bet Stake")</f>
        <v>#VALUE!</v>
      </c>
      <c r="E11" s="18" t="str">
        <f>COUNTIFS('Transaction History'!L:L,$A11,
          #REF!,$B11,
          #REF!,"Win")</f>
        <v>#VALUE!</v>
      </c>
      <c r="F11" s="6" t="str">
        <f>COUNTIFS('Transaction History'!L:L,$A11,
          #REF!,$B11,
          #REF!,"Loss")</f>
        <v>#VALUE!</v>
      </c>
      <c r="G11" s="14" t="str">
        <f t="shared" ref="G11:G13" si="3">E11+F11</f>
        <v>#VALUE!</v>
      </c>
      <c r="H11" s="23" t="str">
        <f t="shared" ref="H11:H13" si="4">E11/G11</f>
        <v>#VALUE!</v>
      </c>
      <c r="I11" s="85" t="str">
        <f>SUMIFS(#REF!,
        'Transaction History'!L:L,$A11,
        #REF!,$B11)
-
SUMIFS(#REF!,
        'Transaction History'!L:L,$A11,
        #REF!,$B11)</f>
        <v>#N/A</v>
      </c>
      <c r="J11" s="53" t="str">
        <f t="shared" si="1"/>
        <v>#VALUE!</v>
      </c>
      <c r="K11" s="24" t="str">
        <f t="shared" si="2"/>
        <v>#N/A</v>
      </c>
    </row>
    <row r="12" ht="15.75" customHeight="1">
      <c r="A12" s="27" t="s">
        <v>16</v>
      </c>
      <c r="B12" s="43" t="s">
        <v>195</v>
      </c>
      <c r="C12" s="43">
        <v>16.0</v>
      </c>
      <c r="D12" s="43" t="str">
        <f>COUNTIFS('Transaction History'!L:L,$A12,
          #REF!,$B12,
          'Transaction History'!B:B,"Bet Stake")</f>
        <v>#VALUE!</v>
      </c>
      <c r="E12" s="28" t="str">
        <f>COUNTIFS('Transaction History'!L:L,$A12,
          #REF!,$B12,
          #REF!,"Win")</f>
        <v>#VALUE!</v>
      </c>
      <c r="F12" s="43" t="str">
        <f>COUNTIFS('Transaction History'!L:L,$A12,
          #REF!,$B12,
          #REF!,"Loss")</f>
        <v>#VALUE!</v>
      </c>
      <c r="G12" s="27" t="str">
        <f t="shared" si="3"/>
        <v>#VALUE!</v>
      </c>
      <c r="H12" s="32" t="str">
        <f t="shared" si="4"/>
        <v>#VALUE!</v>
      </c>
      <c r="I12" s="33" t="str">
        <f>SUMIFS(#REF!,
        'Transaction History'!L:L,$A12,
        #REF!,$B12)
-
SUMIFS(#REF!,
        'Transaction History'!L:L,$A12,
        #REF!,$B12)</f>
        <v>#N/A</v>
      </c>
      <c r="J12" s="53" t="str">
        <f t="shared" si="1"/>
        <v>#VALUE!</v>
      </c>
      <c r="K12" s="24" t="str">
        <f t="shared" si="2"/>
        <v>#N/A</v>
      </c>
    </row>
    <row r="13" ht="15.75" customHeight="1">
      <c r="A13" s="36" t="s">
        <v>15</v>
      </c>
      <c r="B13" s="58" t="s">
        <v>195</v>
      </c>
      <c r="C13" s="58">
        <v>16.0</v>
      </c>
      <c r="D13" s="58" t="str">
        <f>COUNTIFS('Transaction History'!L:L,$A13,
          #REF!,$B13,
          'Transaction History'!B:B,"Bet Stake")</f>
        <v>#VALUE!</v>
      </c>
      <c r="E13" s="37" t="str">
        <f>COUNTIFS('Transaction History'!L:L,$A13,
          #REF!,$B13,
          #REF!,"Win")</f>
        <v>#VALUE!</v>
      </c>
      <c r="F13" s="58" t="str">
        <f>COUNTIFS('Transaction History'!L:L,$A13,
          #REF!,$B13,
          #REF!,"Loss")</f>
        <v>#VALUE!</v>
      </c>
      <c r="G13" s="36" t="str">
        <f t="shared" si="3"/>
        <v>#VALUE!</v>
      </c>
      <c r="H13" s="39" t="str">
        <f t="shared" si="4"/>
        <v>#VALUE!</v>
      </c>
      <c r="I13" s="40" t="str">
        <f>SUMIFS(#REF!,
        'Transaction History'!L:L,$A13,
        #REF!,$B13)
-
SUMIFS(#REF!,
        'Transaction History'!L:L,$A13,
        #REF!,$B13)</f>
        <v>#N/A</v>
      </c>
      <c r="J13" s="10" t="str">
        <f t="shared" si="1"/>
        <v>#VALUE!</v>
      </c>
      <c r="K13" s="26" t="str">
        <f t="shared" si="2"/>
        <v>#N/A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1:I1">
    <cfRule type="cellIs" dxfId="6" priority="1" operator="greaterThanOrEqual">
      <formula>0</formula>
    </cfRule>
  </conditionalFormatting>
  <conditionalFormatting sqref="H1:I1">
    <cfRule type="cellIs" dxfId="7" priority="2" operator="lessThan">
      <formula>0</formula>
    </cfRule>
  </conditionalFormatting>
  <conditionalFormatting sqref="J1">
    <cfRule type="cellIs" dxfId="6" priority="3" operator="greaterThanOrEqual">
      <formula>0</formula>
    </cfRule>
  </conditionalFormatting>
  <conditionalFormatting sqref="J1">
    <cfRule type="cellIs" dxfId="7" priority="4" operator="lessThan">
      <formula>0</formula>
    </cfRule>
  </conditionalFormatting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4" t="s">
        <v>130</v>
      </c>
      <c r="B1" s="5" t="s">
        <v>131</v>
      </c>
      <c r="C1" s="6" t="s">
        <v>20</v>
      </c>
      <c r="D1" s="5" t="s">
        <v>21</v>
      </c>
      <c r="E1" s="5" t="s">
        <v>22</v>
      </c>
      <c r="F1" s="5" t="s">
        <v>23</v>
      </c>
      <c r="G1" s="6" t="s">
        <v>24</v>
      </c>
      <c r="H1" s="7" t="s">
        <v>26</v>
      </c>
      <c r="I1" s="9" t="s">
        <v>27</v>
      </c>
      <c r="J1" s="10" t="s">
        <v>30</v>
      </c>
      <c r="K1" s="11" t="s">
        <v>32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1:I1">
    <cfRule type="cellIs" dxfId="6" priority="1" operator="greaterThanOrEqual">
      <formula>0</formula>
    </cfRule>
  </conditionalFormatting>
  <conditionalFormatting sqref="H1:I1">
    <cfRule type="cellIs" dxfId="7" priority="2" operator="lessThan">
      <formula>0</formula>
    </cfRule>
  </conditionalFormatting>
  <conditionalFormatting sqref="J1">
    <cfRule type="cellIs" dxfId="6" priority="3" operator="greaterThanOrEqual">
      <formula>0</formula>
    </cfRule>
  </conditionalFormatting>
  <conditionalFormatting sqref="J1">
    <cfRule type="cellIs" dxfId="7" priority="4" operator="lessThan">
      <formula>0</formula>
    </cfRule>
  </conditionalFormatting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